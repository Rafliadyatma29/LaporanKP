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225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KULIAH\Temen\KP Rafli\"/>
    </mc:Choice>
  </mc:AlternateContent>
  <xr:revisionPtr revIDLastSave="0" documentId="13_ncr:1_{AAA0AAD8-D1F0-42F2-8F49-89C9C621A3D5}" xr6:coauthVersionLast="47" xr6:coauthVersionMax="47" xr10:uidLastSave="{00000000-0000-0000-0000-000000000000}"/>
  <bookViews>
    <workbookView xWindow="-120" yWindow="-120" windowWidth="20730" windowHeight="11160" tabRatio="666" xr2:uid="{00000000-000D-0000-FFFF-FFFF00000000}"/>
  </bookViews>
  <sheets>
    <sheet name="Transaksi Kasir" sheetId="1" r:id="rId1"/>
    <sheet name="Daftar Barang" sheetId="5" r:id="rId2"/>
    <sheet name="Daftar Pelanggan" sheetId="6" r:id="rId3"/>
    <sheet name="Daftar Transaksi" sheetId="2" r:id="rId4"/>
    <sheet name="Pengaturan" sheetId="7" r:id="rId5"/>
  </sheets>
  <functionGroups builtInGroupCount="19"/>
  <definedNames>
    <definedName name="Footer_Struk">'Transaksi Kasir'!$H$4:$I$8</definedName>
    <definedName name="Nama_Barang">OFFSET('Daftar Barang'!$A$2,1,,COUNTA('Daftar Barang'!$A$2:$A$99995)-1,1)</definedName>
    <definedName name="Nama_Pelanggan">OFFSET('Daftar Pelanggan'!$A$2,1,,COUNTA('Daftar Pelanggan'!$A$2:$A$99)-1,1)</definedName>
    <definedName name="No_Transaksi">OFFSET('Daftar Transaksi'!$A$2,1,,COUNTA('Daftar Transaksi'!$A$2:$A$99992)-1,1)</definedName>
    <definedName name="_xlnm.Print_Area" localSheetId="0">'Transaksi Kasir'!$N$4:$Q$20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3" i="5" l="1"/>
  <c r="F13" i="5"/>
  <c r="G13" i="5"/>
  <c r="H13" i="5"/>
  <c r="P9" i="1"/>
  <c r="B5" i="1"/>
  <c r="B4" i="1"/>
  <c r="B2" i="1"/>
  <c r="L4" i="1"/>
  <c r="P8" i="1"/>
  <c r="H1996" i="5"/>
  <c r="G1996" i="5"/>
  <c r="F1996" i="5"/>
  <c r="E1996" i="5"/>
  <c r="H1995" i="5"/>
  <c r="G1995" i="5"/>
  <c r="F1995" i="5"/>
  <c r="E1995" i="5"/>
  <c r="H1994" i="5"/>
  <c r="G1994" i="5"/>
  <c r="F1994" i="5"/>
  <c r="E1994" i="5"/>
  <c r="H1993" i="5"/>
  <c r="G1993" i="5"/>
  <c r="F1993" i="5"/>
  <c r="E1993" i="5"/>
  <c r="H1992" i="5"/>
  <c r="G1992" i="5"/>
  <c r="F1992" i="5"/>
  <c r="E1992" i="5"/>
  <c r="H1991" i="5"/>
  <c r="G1991" i="5"/>
  <c r="F1991" i="5"/>
  <c r="E1991" i="5"/>
  <c r="H1990" i="5"/>
  <c r="G1990" i="5"/>
  <c r="F1990" i="5"/>
  <c r="E1990" i="5"/>
  <c r="H1989" i="5"/>
  <c r="G1989" i="5"/>
  <c r="F1989" i="5"/>
  <c r="E1989" i="5"/>
  <c r="H1988" i="5"/>
  <c r="G1988" i="5"/>
  <c r="F1988" i="5"/>
  <c r="E1988" i="5"/>
  <c r="H1987" i="5"/>
  <c r="G1987" i="5"/>
  <c r="F1987" i="5"/>
  <c r="E1987" i="5"/>
  <c r="H1986" i="5"/>
  <c r="G1986" i="5"/>
  <c r="F1986" i="5"/>
  <c r="E1986" i="5"/>
  <c r="H1985" i="5"/>
  <c r="G1985" i="5"/>
  <c r="F1985" i="5"/>
  <c r="E1985" i="5"/>
  <c r="H1984" i="5"/>
  <c r="G1984" i="5"/>
  <c r="F1984" i="5"/>
  <c r="E1984" i="5"/>
  <c r="H1983" i="5"/>
  <c r="G1983" i="5"/>
  <c r="F1983" i="5"/>
  <c r="E1983" i="5"/>
  <c r="H1982" i="5"/>
  <c r="G1982" i="5"/>
  <c r="F1982" i="5"/>
  <c r="E1982" i="5"/>
  <c r="H1981" i="5"/>
  <c r="G1981" i="5"/>
  <c r="F1981" i="5"/>
  <c r="E1981" i="5"/>
  <c r="H1980" i="5"/>
  <c r="G1980" i="5"/>
  <c r="F1980" i="5"/>
  <c r="E1980" i="5"/>
  <c r="H1979" i="5"/>
  <c r="G1979" i="5"/>
  <c r="F1979" i="5"/>
  <c r="E1979" i="5"/>
  <c r="H1978" i="5"/>
  <c r="G1978" i="5"/>
  <c r="F1978" i="5"/>
  <c r="E1978" i="5"/>
  <c r="H1977" i="5"/>
  <c r="G1977" i="5"/>
  <c r="F1977" i="5"/>
  <c r="E1977" i="5"/>
  <c r="H1976" i="5"/>
  <c r="G1976" i="5"/>
  <c r="F1976" i="5"/>
  <c r="E1976" i="5"/>
  <c r="H1975" i="5"/>
  <c r="G1975" i="5"/>
  <c r="F1975" i="5"/>
  <c r="E1975" i="5"/>
  <c r="H1974" i="5"/>
  <c r="G1974" i="5"/>
  <c r="F1974" i="5"/>
  <c r="E1974" i="5"/>
  <c r="H1973" i="5"/>
  <c r="G1973" i="5"/>
  <c r="F1973" i="5"/>
  <c r="E1973" i="5"/>
  <c r="H1972" i="5"/>
  <c r="G1972" i="5"/>
  <c r="F1972" i="5"/>
  <c r="E1972" i="5"/>
  <c r="H1971" i="5"/>
  <c r="G1971" i="5"/>
  <c r="F1971" i="5"/>
  <c r="E1971" i="5"/>
  <c r="H1970" i="5"/>
  <c r="G1970" i="5"/>
  <c r="F1970" i="5"/>
  <c r="E1970" i="5"/>
  <c r="H1969" i="5"/>
  <c r="G1969" i="5"/>
  <c r="F1969" i="5"/>
  <c r="E1969" i="5"/>
  <c r="H1968" i="5"/>
  <c r="G1968" i="5"/>
  <c r="F1968" i="5"/>
  <c r="E1968" i="5"/>
  <c r="H1967" i="5"/>
  <c r="G1967" i="5"/>
  <c r="F1967" i="5"/>
  <c r="E1967" i="5"/>
  <c r="H1966" i="5"/>
  <c r="G1966" i="5"/>
  <c r="F1966" i="5"/>
  <c r="E1966" i="5"/>
  <c r="H1965" i="5"/>
  <c r="G1965" i="5"/>
  <c r="F1965" i="5"/>
  <c r="E1965" i="5"/>
  <c r="H1964" i="5"/>
  <c r="G1964" i="5"/>
  <c r="F1964" i="5"/>
  <c r="E1964" i="5"/>
  <c r="H1963" i="5"/>
  <c r="G1963" i="5"/>
  <c r="F1963" i="5"/>
  <c r="E1963" i="5"/>
  <c r="H1962" i="5"/>
  <c r="G1962" i="5"/>
  <c r="F1962" i="5"/>
  <c r="E1962" i="5"/>
  <c r="H1961" i="5"/>
  <c r="G1961" i="5"/>
  <c r="F1961" i="5"/>
  <c r="E1961" i="5"/>
  <c r="H1960" i="5"/>
  <c r="G1960" i="5"/>
  <c r="F1960" i="5"/>
  <c r="E1960" i="5"/>
  <c r="H1959" i="5"/>
  <c r="G1959" i="5"/>
  <c r="F1959" i="5"/>
  <c r="E1959" i="5"/>
  <c r="H1958" i="5"/>
  <c r="G1958" i="5"/>
  <c r="F1958" i="5"/>
  <c r="E1958" i="5"/>
  <c r="H1957" i="5"/>
  <c r="G1957" i="5"/>
  <c r="F1957" i="5"/>
  <c r="E1957" i="5"/>
  <c r="H1956" i="5"/>
  <c r="G1956" i="5"/>
  <c r="F1956" i="5"/>
  <c r="E1956" i="5"/>
  <c r="H1955" i="5"/>
  <c r="G1955" i="5"/>
  <c r="F1955" i="5"/>
  <c r="E1955" i="5"/>
  <c r="H1954" i="5"/>
  <c r="G1954" i="5"/>
  <c r="F1954" i="5"/>
  <c r="E1954" i="5"/>
  <c r="H1953" i="5"/>
  <c r="G1953" i="5"/>
  <c r="F1953" i="5"/>
  <c r="E1953" i="5"/>
  <c r="H1952" i="5"/>
  <c r="G1952" i="5"/>
  <c r="F1952" i="5"/>
  <c r="E1952" i="5"/>
  <c r="H1951" i="5"/>
  <c r="G1951" i="5"/>
  <c r="F1951" i="5"/>
  <c r="E1951" i="5"/>
  <c r="H1950" i="5"/>
  <c r="G1950" i="5"/>
  <c r="F1950" i="5"/>
  <c r="E1950" i="5"/>
  <c r="H1949" i="5"/>
  <c r="G1949" i="5"/>
  <c r="F1949" i="5"/>
  <c r="E1949" i="5"/>
  <c r="H1948" i="5"/>
  <c r="G1948" i="5"/>
  <c r="F1948" i="5"/>
  <c r="E1948" i="5"/>
  <c r="H1947" i="5"/>
  <c r="G1947" i="5"/>
  <c r="F1947" i="5"/>
  <c r="E1947" i="5"/>
  <c r="H1946" i="5"/>
  <c r="G1946" i="5"/>
  <c r="F1946" i="5"/>
  <c r="E1946" i="5"/>
  <c r="H1945" i="5"/>
  <c r="G1945" i="5"/>
  <c r="F1945" i="5"/>
  <c r="E1945" i="5"/>
  <c r="H1944" i="5"/>
  <c r="G1944" i="5"/>
  <c r="F1944" i="5"/>
  <c r="E1944" i="5"/>
  <c r="H1943" i="5"/>
  <c r="G1943" i="5"/>
  <c r="F1943" i="5"/>
  <c r="E1943" i="5"/>
  <c r="H1942" i="5"/>
  <c r="G1942" i="5"/>
  <c r="F1942" i="5"/>
  <c r="E1942" i="5"/>
  <c r="H1941" i="5"/>
  <c r="G1941" i="5"/>
  <c r="F1941" i="5"/>
  <c r="E1941" i="5"/>
  <c r="H1940" i="5"/>
  <c r="G1940" i="5"/>
  <c r="F1940" i="5"/>
  <c r="E1940" i="5"/>
  <c r="H1939" i="5"/>
  <c r="G1939" i="5"/>
  <c r="F1939" i="5"/>
  <c r="E1939" i="5"/>
  <c r="H1938" i="5"/>
  <c r="G1938" i="5"/>
  <c r="F1938" i="5"/>
  <c r="E1938" i="5"/>
  <c r="H1937" i="5"/>
  <c r="G1937" i="5"/>
  <c r="F1937" i="5"/>
  <c r="E1937" i="5"/>
  <c r="H1936" i="5"/>
  <c r="G1936" i="5"/>
  <c r="F1936" i="5"/>
  <c r="E1936" i="5"/>
  <c r="H1935" i="5"/>
  <c r="G1935" i="5"/>
  <c r="F1935" i="5"/>
  <c r="E1935" i="5"/>
  <c r="H1934" i="5"/>
  <c r="G1934" i="5"/>
  <c r="F1934" i="5"/>
  <c r="E1934" i="5"/>
  <c r="H1933" i="5"/>
  <c r="G1933" i="5"/>
  <c r="F1933" i="5"/>
  <c r="E1933" i="5"/>
  <c r="H1932" i="5"/>
  <c r="G1932" i="5"/>
  <c r="F1932" i="5"/>
  <c r="E1932" i="5"/>
  <c r="H1931" i="5"/>
  <c r="G1931" i="5"/>
  <c r="F1931" i="5"/>
  <c r="E1931" i="5"/>
  <c r="H1930" i="5"/>
  <c r="G1930" i="5"/>
  <c r="F1930" i="5"/>
  <c r="E1930" i="5"/>
  <c r="H1929" i="5"/>
  <c r="G1929" i="5"/>
  <c r="F1929" i="5"/>
  <c r="E1929" i="5"/>
  <c r="H1928" i="5"/>
  <c r="G1928" i="5"/>
  <c r="F1928" i="5"/>
  <c r="E1928" i="5"/>
  <c r="H1927" i="5"/>
  <c r="G1927" i="5"/>
  <c r="F1927" i="5"/>
  <c r="E1927" i="5"/>
  <c r="H1926" i="5"/>
  <c r="G1926" i="5"/>
  <c r="F1926" i="5"/>
  <c r="E1926" i="5"/>
  <c r="H1925" i="5"/>
  <c r="G1925" i="5"/>
  <c r="F1925" i="5"/>
  <c r="E1925" i="5"/>
  <c r="H1924" i="5"/>
  <c r="G1924" i="5"/>
  <c r="F1924" i="5"/>
  <c r="E1924" i="5"/>
  <c r="H1923" i="5"/>
  <c r="G1923" i="5"/>
  <c r="F1923" i="5"/>
  <c r="E1923" i="5"/>
  <c r="H1922" i="5"/>
  <c r="G1922" i="5"/>
  <c r="F1922" i="5"/>
  <c r="E1922" i="5"/>
  <c r="H1921" i="5"/>
  <c r="G1921" i="5"/>
  <c r="F1921" i="5"/>
  <c r="E1921" i="5"/>
  <c r="H1920" i="5"/>
  <c r="G1920" i="5"/>
  <c r="F1920" i="5"/>
  <c r="E1920" i="5"/>
  <c r="H1919" i="5"/>
  <c r="G1919" i="5"/>
  <c r="F1919" i="5"/>
  <c r="E1919" i="5"/>
  <c r="H1918" i="5"/>
  <c r="G1918" i="5"/>
  <c r="F1918" i="5"/>
  <c r="E1918" i="5"/>
  <c r="H1917" i="5"/>
  <c r="G1917" i="5"/>
  <c r="F1917" i="5"/>
  <c r="E1917" i="5"/>
  <c r="H1916" i="5"/>
  <c r="G1916" i="5"/>
  <c r="F1916" i="5"/>
  <c r="E1916" i="5"/>
  <c r="H1915" i="5"/>
  <c r="G1915" i="5"/>
  <c r="F1915" i="5"/>
  <c r="E1915" i="5"/>
  <c r="H1914" i="5"/>
  <c r="G1914" i="5"/>
  <c r="F1914" i="5"/>
  <c r="E1914" i="5"/>
  <c r="H1913" i="5"/>
  <c r="G1913" i="5"/>
  <c r="F1913" i="5"/>
  <c r="E1913" i="5"/>
  <c r="H1912" i="5"/>
  <c r="G1912" i="5"/>
  <c r="F1912" i="5"/>
  <c r="E1912" i="5"/>
  <c r="H1911" i="5"/>
  <c r="G1911" i="5"/>
  <c r="F1911" i="5"/>
  <c r="E1911" i="5"/>
  <c r="H1910" i="5"/>
  <c r="G1910" i="5"/>
  <c r="F1910" i="5"/>
  <c r="E1910" i="5"/>
  <c r="H1909" i="5"/>
  <c r="G1909" i="5"/>
  <c r="F1909" i="5"/>
  <c r="E1909" i="5"/>
  <c r="H1908" i="5"/>
  <c r="G1908" i="5"/>
  <c r="F1908" i="5"/>
  <c r="E1908" i="5"/>
  <c r="H1907" i="5"/>
  <c r="G1907" i="5"/>
  <c r="F1907" i="5"/>
  <c r="E1907" i="5"/>
  <c r="H1906" i="5"/>
  <c r="G1906" i="5"/>
  <c r="F1906" i="5"/>
  <c r="E1906" i="5"/>
  <c r="H1905" i="5"/>
  <c r="G1905" i="5"/>
  <c r="F1905" i="5"/>
  <c r="E1905" i="5"/>
  <c r="H1904" i="5"/>
  <c r="G1904" i="5"/>
  <c r="F1904" i="5"/>
  <c r="E1904" i="5"/>
  <c r="H1903" i="5"/>
  <c r="G1903" i="5"/>
  <c r="F1903" i="5"/>
  <c r="E1903" i="5"/>
  <c r="H1902" i="5"/>
  <c r="G1902" i="5"/>
  <c r="F1902" i="5"/>
  <c r="E1902" i="5"/>
  <c r="H1901" i="5"/>
  <c r="G1901" i="5"/>
  <c r="F1901" i="5"/>
  <c r="E1901" i="5"/>
  <c r="H1900" i="5"/>
  <c r="G1900" i="5"/>
  <c r="F1900" i="5"/>
  <c r="E1900" i="5"/>
  <c r="H1899" i="5"/>
  <c r="G1899" i="5"/>
  <c r="F1899" i="5"/>
  <c r="E1899" i="5"/>
  <c r="H1898" i="5"/>
  <c r="G1898" i="5"/>
  <c r="F1898" i="5"/>
  <c r="E1898" i="5"/>
  <c r="H1897" i="5"/>
  <c r="G1897" i="5"/>
  <c r="F1897" i="5"/>
  <c r="E1897" i="5"/>
  <c r="H1896" i="5"/>
  <c r="G1896" i="5"/>
  <c r="F1896" i="5"/>
  <c r="E1896" i="5"/>
  <c r="H1895" i="5"/>
  <c r="G1895" i="5"/>
  <c r="F1895" i="5"/>
  <c r="E1895" i="5"/>
  <c r="H1894" i="5"/>
  <c r="G1894" i="5"/>
  <c r="F1894" i="5"/>
  <c r="E1894" i="5"/>
  <c r="H1893" i="5"/>
  <c r="G1893" i="5"/>
  <c r="F1893" i="5"/>
  <c r="E1893" i="5"/>
  <c r="H1892" i="5"/>
  <c r="G1892" i="5"/>
  <c r="F1892" i="5"/>
  <c r="E1892" i="5"/>
  <c r="H1891" i="5"/>
  <c r="G1891" i="5"/>
  <c r="F1891" i="5"/>
  <c r="E1891" i="5"/>
  <c r="H1890" i="5"/>
  <c r="G1890" i="5"/>
  <c r="F1890" i="5"/>
  <c r="E1890" i="5"/>
  <c r="H1889" i="5"/>
  <c r="G1889" i="5"/>
  <c r="F1889" i="5"/>
  <c r="E1889" i="5"/>
  <c r="H1888" i="5"/>
  <c r="G1888" i="5"/>
  <c r="F1888" i="5"/>
  <c r="E1888" i="5"/>
  <c r="H1887" i="5"/>
  <c r="G1887" i="5"/>
  <c r="F1887" i="5"/>
  <c r="E1887" i="5"/>
  <c r="H1886" i="5"/>
  <c r="G1886" i="5"/>
  <c r="F1886" i="5"/>
  <c r="E1886" i="5"/>
  <c r="H1885" i="5"/>
  <c r="G1885" i="5"/>
  <c r="F1885" i="5"/>
  <c r="E1885" i="5"/>
  <c r="H1884" i="5"/>
  <c r="G1884" i="5"/>
  <c r="F1884" i="5"/>
  <c r="E1884" i="5"/>
  <c r="H1883" i="5"/>
  <c r="G1883" i="5"/>
  <c r="F1883" i="5"/>
  <c r="E1883" i="5"/>
  <c r="H1882" i="5"/>
  <c r="G1882" i="5"/>
  <c r="F1882" i="5"/>
  <c r="E1882" i="5"/>
  <c r="H1881" i="5"/>
  <c r="G1881" i="5"/>
  <c r="F1881" i="5"/>
  <c r="E1881" i="5"/>
  <c r="H1880" i="5"/>
  <c r="G1880" i="5"/>
  <c r="F1880" i="5"/>
  <c r="E1880" i="5"/>
  <c r="H1879" i="5"/>
  <c r="G1879" i="5"/>
  <c r="F1879" i="5"/>
  <c r="E1879" i="5"/>
  <c r="H1878" i="5"/>
  <c r="G1878" i="5"/>
  <c r="F1878" i="5"/>
  <c r="E1878" i="5"/>
  <c r="H1877" i="5"/>
  <c r="G1877" i="5"/>
  <c r="F1877" i="5"/>
  <c r="E1877" i="5"/>
  <c r="H1876" i="5"/>
  <c r="G1876" i="5"/>
  <c r="F1876" i="5"/>
  <c r="E1876" i="5"/>
  <c r="H1875" i="5"/>
  <c r="G1875" i="5"/>
  <c r="F1875" i="5"/>
  <c r="E1875" i="5"/>
  <c r="H1874" i="5"/>
  <c r="G1874" i="5"/>
  <c r="F1874" i="5"/>
  <c r="E1874" i="5"/>
  <c r="H1873" i="5"/>
  <c r="G1873" i="5"/>
  <c r="F1873" i="5"/>
  <c r="E1873" i="5"/>
  <c r="H1872" i="5"/>
  <c r="G1872" i="5"/>
  <c r="F1872" i="5"/>
  <c r="E1872" i="5"/>
  <c r="H1871" i="5"/>
  <c r="G1871" i="5"/>
  <c r="F1871" i="5"/>
  <c r="E1871" i="5"/>
  <c r="H1870" i="5"/>
  <c r="G1870" i="5"/>
  <c r="F1870" i="5"/>
  <c r="E1870" i="5"/>
  <c r="H1869" i="5"/>
  <c r="G1869" i="5"/>
  <c r="F1869" i="5"/>
  <c r="E1869" i="5"/>
  <c r="H1868" i="5"/>
  <c r="G1868" i="5"/>
  <c r="F1868" i="5"/>
  <c r="E1868" i="5"/>
  <c r="H1867" i="5"/>
  <c r="G1867" i="5"/>
  <c r="F1867" i="5"/>
  <c r="E1867" i="5"/>
  <c r="H1866" i="5"/>
  <c r="G1866" i="5"/>
  <c r="F1866" i="5"/>
  <c r="E1866" i="5"/>
  <c r="H1865" i="5"/>
  <c r="G1865" i="5"/>
  <c r="F1865" i="5"/>
  <c r="E1865" i="5"/>
  <c r="H1864" i="5"/>
  <c r="G1864" i="5"/>
  <c r="F1864" i="5"/>
  <c r="E1864" i="5"/>
  <c r="H1863" i="5"/>
  <c r="G1863" i="5"/>
  <c r="F1863" i="5"/>
  <c r="E1863" i="5"/>
  <c r="H1862" i="5"/>
  <c r="G1862" i="5"/>
  <c r="F1862" i="5"/>
  <c r="E1862" i="5"/>
  <c r="H1861" i="5"/>
  <c r="G1861" i="5"/>
  <c r="F1861" i="5"/>
  <c r="E1861" i="5"/>
  <c r="H1860" i="5"/>
  <c r="G1860" i="5"/>
  <c r="F1860" i="5"/>
  <c r="E1860" i="5"/>
  <c r="H1859" i="5"/>
  <c r="G1859" i="5"/>
  <c r="F1859" i="5"/>
  <c r="E1859" i="5"/>
  <c r="H1858" i="5"/>
  <c r="G1858" i="5"/>
  <c r="F1858" i="5"/>
  <c r="E1858" i="5"/>
  <c r="H1857" i="5"/>
  <c r="G1857" i="5"/>
  <c r="F1857" i="5"/>
  <c r="E1857" i="5"/>
  <c r="H1856" i="5"/>
  <c r="G1856" i="5"/>
  <c r="F1856" i="5"/>
  <c r="E1856" i="5"/>
  <c r="H1855" i="5"/>
  <c r="G1855" i="5"/>
  <c r="F1855" i="5"/>
  <c r="E1855" i="5"/>
  <c r="H1854" i="5"/>
  <c r="G1854" i="5"/>
  <c r="F1854" i="5"/>
  <c r="E1854" i="5"/>
  <c r="H1853" i="5"/>
  <c r="G1853" i="5"/>
  <c r="F1853" i="5"/>
  <c r="E1853" i="5"/>
  <c r="H1852" i="5"/>
  <c r="G1852" i="5"/>
  <c r="F1852" i="5"/>
  <c r="E1852" i="5"/>
  <c r="H1851" i="5"/>
  <c r="G1851" i="5"/>
  <c r="F1851" i="5"/>
  <c r="E1851" i="5"/>
  <c r="H1850" i="5"/>
  <c r="G1850" i="5"/>
  <c r="F1850" i="5"/>
  <c r="E1850" i="5"/>
  <c r="H1849" i="5"/>
  <c r="G1849" i="5"/>
  <c r="F1849" i="5"/>
  <c r="E1849" i="5"/>
  <c r="H1848" i="5"/>
  <c r="G1848" i="5"/>
  <c r="F1848" i="5"/>
  <c r="E1848" i="5"/>
  <c r="H1847" i="5"/>
  <c r="G1847" i="5"/>
  <c r="F1847" i="5"/>
  <c r="E1847" i="5"/>
  <c r="H1846" i="5"/>
  <c r="G1846" i="5"/>
  <c r="F1846" i="5"/>
  <c r="E1846" i="5"/>
  <c r="H1845" i="5"/>
  <c r="G1845" i="5"/>
  <c r="F1845" i="5"/>
  <c r="E1845" i="5"/>
  <c r="H1844" i="5"/>
  <c r="G1844" i="5"/>
  <c r="F1844" i="5"/>
  <c r="E1844" i="5"/>
  <c r="H1843" i="5"/>
  <c r="G1843" i="5"/>
  <c r="F1843" i="5"/>
  <c r="E1843" i="5"/>
  <c r="H1842" i="5"/>
  <c r="G1842" i="5"/>
  <c r="F1842" i="5"/>
  <c r="E1842" i="5"/>
  <c r="H1841" i="5"/>
  <c r="G1841" i="5"/>
  <c r="F1841" i="5"/>
  <c r="E1841" i="5"/>
  <c r="H1840" i="5"/>
  <c r="G1840" i="5"/>
  <c r="F1840" i="5"/>
  <c r="E1840" i="5"/>
  <c r="H1839" i="5"/>
  <c r="G1839" i="5"/>
  <c r="F1839" i="5"/>
  <c r="E1839" i="5"/>
  <c r="H1838" i="5"/>
  <c r="G1838" i="5"/>
  <c r="F1838" i="5"/>
  <c r="E1838" i="5"/>
  <c r="H1837" i="5"/>
  <c r="G1837" i="5"/>
  <c r="F1837" i="5"/>
  <c r="E1837" i="5"/>
  <c r="H1836" i="5"/>
  <c r="G1836" i="5"/>
  <c r="F1836" i="5"/>
  <c r="E1836" i="5"/>
  <c r="H1835" i="5"/>
  <c r="G1835" i="5"/>
  <c r="F1835" i="5"/>
  <c r="E1835" i="5"/>
  <c r="H1834" i="5"/>
  <c r="G1834" i="5"/>
  <c r="F1834" i="5"/>
  <c r="E1834" i="5"/>
  <c r="H1833" i="5"/>
  <c r="G1833" i="5"/>
  <c r="F1833" i="5"/>
  <c r="E1833" i="5"/>
  <c r="H1832" i="5"/>
  <c r="G1832" i="5"/>
  <c r="F1832" i="5"/>
  <c r="E1832" i="5"/>
  <c r="H1831" i="5"/>
  <c r="G1831" i="5"/>
  <c r="F1831" i="5"/>
  <c r="E1831" i="5"/>
  <c r="H1830" i="5"/>
  <c r="G1830" i="5"/>
  <c r="F1830" i="5"/>
  <c r="E1830" i="5"/>
  <c r="H1829" i="5"/>
  <c r="G1829" i="5"/>
  <c r="F1829" i="5"/>
  <c r="E1829" i="5"/>
  <c r="H1828" i="5"/>
  <c r="G1828" i="5"/>
  <c r="F1828" i="5"/>
  <c r="E1828" i="5"/>
  <c r="H1827" i="5"/>
  <c r="G1827" i="5"/>
  <c r="F1827" i="5"/>
  <c r="E1827" i="5"/>
  <c r="H1826" i="5"/>
  <c r="G1826" i="5"/>
  <c r="F1826" i="5"/>
  <c r="E1826" i="5"/>
  <c r="H1825" i="5"/>
  <c r="G1825" i="5"/>
  <c r="F1825" i="5"/>
  <c r="E1825" i="5"/>
  <c r="H1824" i="5"/>
  <c r="G1824" i="5"/>
  <c r="F1824" i="5"/>
  <c r="E1824" i="5"/>
  <c r="H1823" i="5"/>
  <c r="G1823" i="5"/>
  <c r="F1823" i="5"/>
  <c r="E1823" i="5"/>
  <c r="H1822" i="5"/>
  <c r="G1822" i="5"/>
  <c r="F1822" i="5"/>
  <c r="E1822" i="5"/>
  <c r="H1821" i="5"/>
  <c r="G1821" i="5"/>
  <c r="F1821" i="5"/>
  <c r="E1821" i="5"/>
  <c r="H1820" i="5"/>
  <c r="G1820" i="5"/>
  <c r="F1820" i="5"/>
  <c r="E1820" i="5"/>
  <c r="H1819" i="5"/>
  <c r="G1819" i="5"/>
  <c r="F1819" i="5"/>
  <c r="E1819" i="5"/>
  <c r="H1818" i="5"/>
  <c r="G1818" i="5"/>
  <c r="F1818" i="5"/>
  <c r="E1818" i="5"/>
  <c r="H1817" i="5"/>
  <c r="G1817" i="5"/>
  <c r="F1817" i="5"/>
  <c r="E1817" i="5"/>
  <c r="H1816" i="5"/>
  <c r="G1816" i="5"/>
  <c r="F1816" i="5"/>
  <c r="E1816" i="5"/>
  <c r="H1815" i="5"/>
  <c r="G1815" i="5"/>
  <c r="F1815" i="5"/>
  <c r="E1815" i="5"/>
  <c r="H1814" i="5"/>
  <c r="G1814" i="5"/>
  <c r="F1814" i="5"/>
  <c r="E1814" i="5"/>
  <c r="H1813" i="5"/>
  <c r="G1813" i="5"/>
  <c r="F1813" i="5"/>
  <c r="E1813" i="5"/>
  <c r="H1812" i="5"/>
  <c r="G1812" i="5"/>
  <c r="F1812" i="5"/>
  <c r="E1812" i="5"/>
  <c r="H1811" i="5"/>
  <c r="G1811" i="5"/>
  <c r="F1811" i="5"/>
  <c r="E1811" i="5"/>
  <c r="H1810" i="5"/>
  <c r="G1810" i="5"/>
  <c r="F1810" i="5"/>
  <c r="E1810" i="5"/>
  <c r="H1809" i="5"/>
  <c r="G1809" i="5"/>
  <c r="F1809" i="5"/>
  <c r="E1809" i="5"/>
  <c r="H1808" i="5"/>
  <c r="G1808" i="5"/>
  <c r="F1808" i="5"/>
  <c r="E1808" i="5"/>
  <c r="H1807" i="5"/>
  <c r="G1807" i="5"/>
  <c r="F1807" i="5"/>
  <c r="E1807" i="5"/>
  <c r="H1806" i="5"/>
  <c r="G1806" i="5"/>
  <c r="F1806" i="5"/>
  <c r="E1806" i="5"/>
  <c r="H1805" i="5"/>
  <c r="G1805" i="5"/>
  <c r="F1805" i="5"/>
  <c r="E1805" i="5"/>
  <c r="H1804" i="5"/>
  <c r="G1804" i="5"/>
  <c r="F1804" i="5"/>
  <c r="E1804" i="5"/>
  <c r="H1803" i="5"/>
  <c r="G1803" i="5"/>
  <c r="F1803" i="5"/>
  <c r="E1803" i="5"/>
  <c r="H1802" i="5"/>
  <c r="G1802" i="5"/>
  <c r="F1802" i="5"/>
  <c r="E1802" i="5"/>
  <c r="H1801" i="5"/>
  <c r="G1801" i="5"/>
  <c r="F1801" i="5"/>
  <c r="E1801" i="5"/>
  <c r="H1800" i="5"/>
  <c r="G1800" i="5"/>
  <c r="F1800" i="5"/>
  <c r="E1800" i="5"/>
  <c r="H1799" i="5"/>
  <c r="G1799" i="5"/>
  <c r="F1799" i="5"/>
  <c r="E1799" i="5"/>
  <c r="H1798" i="5"/>
  <c r="G1798" i="5"/>
  <c r="F1798" i="5"/>
  <c r="E1798" i="5"/>
  <c r="H1797" i="5"/>
  <c r="G1797" i="5"/>
  <c r="F1797" i="5"/>
  <c r="E1797" i="5"/>
  <c r="H1796" i="5"/>
  <c r="G1796" i="5"/>
  <c r="F1796" i="5"/>
  <c r="E1796" i="5"/>
  <c r="H1795" i="5"/>
  <c r="G1795" i="5"/>
  <c r="F1795" i="5"/>
  <c r="E1795" i="5"/>
  <c r="H1794" i="5"/>
  <c r="G1794" i="5"/>
  <c r="F1794" i="5"/>
  <c r="E1794" i="5"/>
  <c r="H1793" i="5"/>
  <c r="G1793" i="5"/>
  <c r="F1793" i="5"/>
  <c r="E1793" i="5"/>
  <c r="H1792" i="5"/>
  <c r="G1792" i="5"/>
  <c r="F1792" i="5"/>
  <c r="E1792" i="5"/>
  <c r="H1791" i="5"/>
  <c r="G1791" i="5"/>
  <c r="F1791" i="5"/>
  <c r="E1791" i="5"/>
  <c r="H1790" i="5"/>
  <c r="G1790" i="5"/>
  <c r="F1790" i="5"/>
  <c r="E1790" i="5"/>
  <c r="H1789" i="5"/>
  <c r="G1789" i="5"/>
  <c r="F1789" i="5"/>
  <c r="E1789" i="5"/>
  <c r="H1788" i="5"/>
  <c r="G1788" i="5"/>
  <c r="F1788" i="5"/>
  <c r="E1788" i="5"/>
  <c r="H1787" i="5"/>
  <c r="G1787" i="5"/>
  <c r="F1787" i="5"/>
  <c r="E1787" i="5"/>
  <c r="H1786" i="5"/>
  <c r="G1786" i="5"/>
  <c r="F1786" i="5"/>
  <c r="E1786" i="5"/>
  <c r="H1785" i="5"/>
  <c r="G1785" i="5"/>
  <c r="F1785" i="5"/>
  <c r="E1785" i="5"/>
  <c r="H1784" i="5"/>
  <c r="G1784" i="5"/>
  <c r="F1784" i="5"/>
  <c r="E1784" i="5"/>
  <c r="H1783" i="5"/>
  <c r="G1783" i="5"/>
  <c r="F1783" i="5"/>
  <c r="E1783" i="5"/>
  <c r="H1782" i="5"/>
  <c r="G1782" i="5"/>
  <c r="F1782" i="5"/>
  <c r="E1782" i="5"/>
  <c r="H1781" i="5"/>
  <c r="G1781" i="5"/>
  <c r="F1781" i="5"/>
  <c r="E1781" i="5"/>
  <c r="H1780" i="5"/>
  <c r="G1780" i="5"/>
  <c r="F1780" i="5"/>
  <c r="E1780" i="5"/>
  <c r="H1779" i="5"/>
  <c r="G1779" i="5"/>
  <c r="F1779" i="5"/>
  <c r="E1779" i="5"/>
  <c r="H1778" i="5"/>
  <c r="G1778" i="5"/>
  <c r="F1778" i="5"/>
  <c r="E1778" i="5"/>
  <c r="H1777" i="5"/>
  <c r="G1777" i="5"/>
  <c r="F1777" i="5"/>
  <c r="E1777" i="5"/>
  <c r="H1776" i="5"/>
  <c r="G1776" i="5"/>
  <c r="F1776" i="5"/>
  <c r="E1776" i="5"/>
  <c r="H1775" i="5"/>
  <c r="G1775" i="5"/>
  <c r="F1775" i="5"/>
  <c r="E1775" i="5"/>
  <c r="H1774" i="5"/>
  <c r="G1774" i="5"/>
  <c r="F1774" i="5"/>
  <c r="E1774" i="5"/>
  <c r="H1773" i="5"/>
  <c r="G1773" i="5"/>
  <c r="F1773" i="5"/>
  <c r="E1773" i="5"/>
  <c r="H1772" i="5"/>
  <c r="G1772" i="5"/>
  <c r="F1772" i="5"/>
  <c r="E1772" i="5"/>
  <c r="H1771" i="5"/>
  <c r="G1771" i="5"/>
  <c r="F1771" i="5"/>
  <c r="E1771" i="5"/>
  <c r="H1770" i="5"/>
  <c r="G1770" i="5"/>
  <c r="F1770" i="5"/>
  <c r="E1770" i="5"/>
  <c r="H1769" i="5"/>
  <c r="G1769" i="5"/>
  <c r="F1769" i="5"/>
  <c r="E1769" i="5"/>
  <c r="H1768" i="5"/>
  <c r="G1768" i="5"/>
  <c r="F1768" i="5"/>
  <c r="E1768" i="5"/>
  <c r="H1767" i="5"/>
  <c r="G1767" i="5"/>
  <c r="F1767" i="5"/>
  <c r="E1767" i="5"/>
  <c r="H1766" i="5"/>
  <c r="G1766" i="5"/>
  <c r="F1766" i="5"/>
  <c r="E1766" i="5"/>
  <c r="H1765" i="5"/>
  <c r="G1765" i="5"/>
  <c r="F1765" i="5"/>
  <c r="E1765" i="5"/>
  <c r="H1764" i="5"/>
  <c r="G1764" i="5"/>
  <c r="F1764" i="5"/>
  <c r="E1764" i="5"/>
  <c r="H1763" i="5"/>
  <c r="G1763" i="5"/>
  <c r="F1763" i="5"/>
  <c r="E1763" i="5"/>
  <c r="H1762" i="5"/>
  <c r="G1762" i="5"/>
  <c r="F1762" i="5"/>
  <c r="E1762" i="5"/>
  <c r="H1761" i="5"/>
  <c r="G1761" i="5"/>
  <c r="F1761" i="5"/>
  <c r="E1761" i="5"/>
  <c r="H1760" i="5"/>
  <c r="G1760" i="5"/>
  <c r="F1760" i="5"/>
  <c r="E1760" i="5"/>
  <c r="H1759" i="5"/>
  <c r="G1759" i="5"/>
  <c r="F1759" i="5"/>
  <c r="E1759" i="5"/>
  <c r="H1758" i="5"/>
  <c r="G1758" i="5"/>
  <c r="F1758" i="5"/>
  <c r="E1758" i="5"/>
  <c r="H1757" i="5"/>
  <c r="G1757" i="5"/>
  <c r="F1757" i="5"/>
  <c r="E1757" i="5"/>
  <c r="H1756" i="5"/>
  <c r="G1756" i="5"/>
  <c r="F1756" i="5"/>
  <c r="E1756" i="5"/>
  <c r="H1755" i="5"/>
  <c r="G1755" i="5"/>
  <c r="F1755" i="5"/>
  <c r="E1755" i="5"/>
  <c r="H1754" i="5"/>
  <c r="G1754" i="5"/>
  <c r="F1754" i="5"/>
  <c r="E1754" i="5"/>
  <c r="H1753" i="5"/>
  <c r="G1753" i="5"/>
  <c r="F1753" i="5"/>
  <c r="E1753" i="5"/>
  <c r="H1752" i="5"/>
  <c r="G1752" i="5"/>
  <c r="F1752" i="5"/>
  <c r="E1752" i="5"/>
  <c r="H1751" i="5"/>
  <c r="G1751" i="5"/>
  <c r="F1751" i="5"/>
  <c r="E1751" i="5"/>
  <c r="H1750" i="5"/>
  <c r="G1750" i="5"/>
  <c r="F1750" i="5"/>
  <c r="E1750" i="5"/>
  <c r="H1749" i="5"/>
  <c r="G1749" i="5"/>
  <c r="F1749" i="5"/>
  <c r="E1749" i="5"/>
  <c r="H1748" i="5"/>
  <c r="G1748" i="5"/>
  <c r="F1748" i="5"/>
  <c r="E1748" i="5"/>
  <c r="H1747" i="5"/>
  <c r="G1747" i="5"/>
  <c r="F1747" i="5"/>
  <c r="E1747" i="5"/>
  <c r="H1746" i="5"/>
  <c r="G1746" i="5"/>
  <c r="F1746" i="5"/>
  <c r="E1746" i="5"/>
  <c r="H1745" i="5"/>
  <c r="G1745" i="5"/>
  <c r="F1745" i="5"/>
  <c r="E1745" i="5"/>
  <c r="H1744" i="5"/>
  <c r="G1744" i="5"/>
  <c r="F1744" i="5"/>
  <c r="E1744" i="5"/>
  <c r="H1743" i="5"/>
  <c r="G1743" i="5"/>
  <c r="F1743" i="5"/>
  <c r="E1743" i="5"/>
  <c r="H1742" i="5"/>
  <c r="G1742" i="5"/>
  <c r="F1742" i="5"/>
  <c r="E1742" i="5"/>
  <c r="H1741" i="5"/>
  <c r="G1741" i="5"/>
  <c r="F1741" i="5"/>
  <c r="E1741" i="5"/>
  <c r="H1740" i="5"/>
  <c r="G1740" i="5"/>
  <c r="F1740" i="5"/>
  <c r="E1740" i="5"/>
  <c r="H1739" i="5"/>
  <c r="G1739" i="5"/>
  <c r="F1739" i="5"/>
  <c r="E1739" i="5"/>
  <c r="H1738" i="5"/>
  <c r="G1738" i="5"/>
  <c r="F1738" i="5"/>
  <c r="E1738" i="5"/>
  <c r="H1737" i="5"/>
  <c r="G1737" i="5"/>
  <c r="F1737" i="5"/>
  <c r="E1737" i="5"/>
  <c r="H1736" i="5"/>
  <c r="G1736" i="5"/>
  <c r="F1736" i="5"/>
  <c r="E1736" i="5"/>
  <c r="H1735" i="5"/>
  <c r="G1735" i="5"/>
  <c r="F1735" i="5"/>
  <c r="E1735" i="5"/>
  <c r="H1734" i="5"/>
  <c r="G1734" i="5"/>
  <c r="F1734" i="5"/>
  <c r="E1734" i="5"/>
  <c r="H1733" i="5"/>
  <c r="G1733" i="5"/>
  <c r="F1733" i="5"/>
  <c r="E1733" i="5"/>
  <c r="H1732" i="5"/>
  <c r="G1732" i="5"/>
  <c r="F1732" i="5"/>
  <c r="E1732" i="5"/>
  <c r="H1731" i="5"/>
  <c r="G1731" i="5"/>
  <c r="F1731" i="5"/>
  <c r="E1731" i="5"/>
  <c r="H1730" i="5"/>
  <c r="G1730" i="5"/>
  <c r="F1730" i="5"/>
  <c r="E1730" i="5"/>
  <c r="H1729" i="5"/>
  <c r="G1729" i="5"/>
  <c r="F1729" i="5"/>
  <c r="E1729" i="5"/>
  <c r="H1728" i="5"/>
  <c r="G1728" i="5"/>
  <c r="F1728" i="5"/>
  <c r="E1728" i="5"/>
  <c r="H1727" i="5"/>
  <c r="G1727" i="5"/>
  <c r="F1727" i="5"/>
  <c r="E1727" i="5"/>
  <c r="H1726" i="5"/>
  <c r="G1726" i="5"/>
  <c r="F1726" i="5"/>
  <c r="E1726" i="5"/>
  <c r="H1725" i="5"/>
  <c r="G1725" i="5"/>
  <c r="F1725" i="5"/>
  <c r="E1725" i="5"/>
  <c r="H1724" i="5"/>
  <c r="G1724" i="5"/>
  <c r="F1724" i="5"/>
  <c r="E1724" i="5"/>
  <c r="H1723" i="5"/>
  <c r="G1723" i="5"/>
  <c r="F1723" i="5"/>
  <c r="E1723" i="5"/>
  <c r="H1722" i="5"/>
  <c r="G1722" i="5"/>
  <c r="F1722" i="5"/>
  <c r="E1722" i="5"/>
  <c r="H1721" i="5"/>
  <c r="G1721" i="5"/>
  <c r="F1721" i="5"/>
  <c r="E1721" i="5"/>
  <c r="H1720" i="5"/>
  <c r="G1720" i="5"/>
  <c r="F1720" i="5"/>
  <c r="E1720" i="5"/>
  <c r="H1719" i="5"/>
  <c r="G1719" i="5"/>
  <c r="F1719" i="5"/>
  <c r="E1719" i="5"/>
  <c r="H1718" i="5"/>
  <c r="G1718" i="5"/>
  <c r="F1718" i="5"/>
  <c r="E1718" i="5"/>
  <c r="H1717" i="5"/>
  <c r="G1717" i="5"/>
  <c r="F1717" i="5"/>
  <c r="E1717" i="5"/>
  <c r="H1716" i="5"/>
  <c r="G1716" i="5"/>
  <c r="F1716" i="5"/>
  <c r="E1716" i="5"/>
  <c r="H1715" i="5"/>
  <c r="G1715" i="5"/>
  <c r="F1715" i="5"/>
  <c r="E1715" i="5"/>
  <c r="H1714" i="5"/>
  <c r="G1714" i="5"/>
  <c r="F1714" i="5"/>
  <c r="E1714" i="5"/>
  <c r="H1713" i="5"/>
  <c r="G1713" i="5"/>
  <c r="F1713" i="5"/>
  <c r="E1713" i="5"/>
  <c r="H1712" i="5"/>
  <c r="G1712" i="5"/>
  <c r="F1712" i="5"/>
  <c r="E1712" i="5"/>
  <c r="H1711" i="5"/>
  <c r="G1711" i="5"/>
  <c r="F1711" i="5"/>
  <c r="E1711" i="5"/>
  <c r="H1710" i="5"/>
  <c r="G1710" i="5"/>
  <c r="F1710" i="5"/>
  <c r="E1710" i="5"/>
  <c r="H1709" i="5"/>
  <c r="G1709" i="5"/>
  <c r="F1709" i="5"/>
  <c r="E1709" i="5"/>
  <c r="H1708" i="5"/>
  <c r="G1708" i="5"/>
  <c r="F1708" i="5"/>
  <c r="E1708" i="5"/>
  <c r="H1707" i="5"/>
  <c r="G1707" i="5"/>
  <c r="F1707" i="5"/>
  <c r="E1707" i="5"/>
  <c r="H1706" i="5"/>
  <c r="G1706" i="5"/>
  <c r="F1706" i="5"/>
  <c r="E1706" i="5"/>
  <c r="H1705" i="5"/>
  <c r="G1705" i="5"/>
  <c r="F1705" i="5"/>
  <c r="E1705" i="5"/>
  <c r="H1704" i="5"/>
  <c r="G1704" i="5"/>
  <c r="F1704" i="5"/>
  <c r="E1704" i="5"/>
  <c r="H1703" i="5"/>
  <c r="G1703" i="5"/>
  <c r="F1703" i="5"/>
  <c r="E1703" i="5"/>
  <c r="H1702" i="5"/>
  <c r="G1702" i="5"/>
  <c r="F1702" i="5"/>
  <c r="E1702" i="5"/>
  <c r="H1701" i="5"/>
  <c r="G1701" i="5"/>
  <c r="F1701" i="5"/>
  <c r="E1701" i="5"/>
  <c r="H1700" i="5"/>
  <c r="G1700" i="5"/>
  <c r="F1700" i="5"/>
  <c r="E1700" i="5"/>
  <c r="H1699" i="5"/>
  <c r="G1699" i="5"/>
  <c r="F1699" i="5"/>
  <c r="E1699" i="5"/>
  <c r="H1698" i="5"/>
  <c r="G1698" i="5"/>
  <c r="F1698" i="5"/>
  <c r="E1698" i="5"/>
  <c r="H1697" i="5"/>
  <c r="G1697" i="5"/>
  <c r="F1697" i="5"/>
  <c r="E1697" i="5"/>
  <c r="H1696" i="5"/>
  <c r="G1696" i="5"/>
  <c r="F1696" i="5"/>
  <c r="E1696" i="5"/>
  <c r="H1695" i="5"/>
  <c r="G1695" i="5"/>
  <c r="F1695" i="5"/>
  <c r="E1695" i="5"/>
  <c r="H1694" i="5"/>
  <c r="G1694" i="5"/>
  <c r="F1694" i="5"/>
  <c r="E1694" i="5"/>
  <c r="H1693" i="5"/>
  <c r="G1693" i="5"/>
  <c r="F1693" i="5"/>
  <c r="E1693" i="5"/>
  <c r="H1692" i="5"/>
  <c r="G1692" i="5"/>
  <c r="F1692" i="5"/>
  <c r="E1692" i="5"/>
  <c r="H1691" i="5"/>
  <c r="G1691" i="5"/>
  <c r="F1691" i="5"/>
  <c r="E1691" i="5"/>
  <c r="H1690" i="5"/>
  <c r="G1690" i="5"/>
  <c r="F1690" i="5"/>
  <c r="E1690" i="5"/>
  <c r="H1689" i="5"/>
  <c r="G1689" i="5"/>
  <c r="F1689" i="5"/>
  <c r="E1689" i="5"/>
  <c r="H1688" i="5"/>
  <c r="G1688" i="5"/>
  <c r="F1688" i="5"/>
  <c r="E1688" i="5"/>
  <c r="H1687" i="5"/>
  <c r="G1687" i="5"/>
  <c r="F1687" i="5"/>
  <c r="E1687" i="5"/>
  <c r="H1686" i="5"/>
  <c r="G1686" i="5"/>
  <c r="F1686" i="5"/>
  <c r="E1686" i="5"/>
  <c r="H1685" i="5"/>
  <c r="G1685" i="5"/>
  <c r="F1685" i="5"/>
  <c r="E1685" i="5"/>
  <c r="H1684" i="5"/>
  <c r="G1684" i="5"/>
  <c r="F1684" i="5"/>
  <c r="E1684" i="5"/>
  <c r="H1683" i="5"/>
  <c r="G1683" i="5"/>
  <c r="F1683" i="5"/>
  <c r="E1683" i="5"/>
  <c r="H1682" i="5"/>
  <c r="G1682" i="5"/>
  <c r="F1682" i="5"/>
  <c r="E1682" i="5"/>
  <c r="H1681" i="5"/>
  <c r="G1681" i="5"/>
  <c r="F1681" i="5"/>
  <c r="E1681" i="5"/>
  <c r="H1680" i="5"/>
  <c r="G1680" i="5"/>
  <c r="F1680" i="5"/>
  <c r="E1680" i="5"/>
  <c r="H1679" i="5"/>
  <c r="G1679" i="5"/>
  <c r="F1679" i="5"/>
  <c r="E1679" i="5"/>
  <c r="H1678" i="5"/>
  <c r="G1678" i="5"/>
  <c r="F1678" i="5"/>
  <c r="E1678" i="5"/>
  <c r="H1677" i="5"/>
  <c r="G1677" i="5"/>
  <c r="F1677" i="5"/>
  <c r="E1677" i="5"/>
  <c r="H1676" i="5"/>
  <c r="G1676" i="5"/>
  <c r="F1676" i="5"/>
  <c r="E1676" i="5"/>
  <c r="H1675" i="5"/>
  <c r="G1675" i="5"/>
  <c r="F1675" i="5"/>
  <c r="E1675" i="5"/>
  <c r="H1674" i="5"/>
  <c r="G1674" i="5"/>
  <c r="F1674" i="5"/>
  <c r="E1674" i="5"/>
  <c r="H1673" i="5"/>
  <c r="G1673" i="5"/>
  <c r="F1673" i="5"/>
  <c r="E1673" i="5"/>
  <c r="H1672" i="5"/>
  <c r="G1672" i="5"/>
  <c r="F1672" i="5"/>
  <c r="E1672" i="5"/>
  <c r="H1671" i="5"/>
  <c r="G1671" i="5"/>
  <c r="F1671" i="5"/>
  <c r="E1671" i="5"/>
  <c r="H1670" i="5"/>
  <c r="G1670" i="5"/>
  <c r="F1670" i="5"/>
  <c r="E1670" i="5"/>
  <c r="H1669" i="5"/>
  <c r="G1669" i="5"/>
  <c r="F1669" i="5"/>
  <c r="E1669" i="5"/>
  <c r="H1668" i="5"/>
  <c r="G1668" i="5"/>
  <c r="F1668" i="5"/>
  <c r="E1668" i="5"/>
  <c r="H1667" i="5"/>
  <c r="G1667" i="5"/>
  <c r="F1667" i="5"/>
  <c r="E1667" i="5"/>
  <c r="H1666" i="5"/>
  <c r="G1666" i="5"/>
  <c r="F1666" i="5"/>
  <c r="E1666" i="5"/>
  <c r="H1665" i="5"/>
  <c r="G1665" i="5"/>
  <c r="F1665" i="5"/>
  <c r="E1665" i="5"/>
  <c r="H1664" i="5"/>
  <c r="G1664" i="5"/>
  <c r="F1664" i="5"/>
  <c r="E1664" i="5"/>
  <c r="H1663" i="5"/>
  <c r="G1663" i="5"/>
  <c r="F1663" i="5"/>
  <c r="E1663" i="5"/>
  <c r="H1662" i="5"/>
  <c r="G1662" i="5"/>
  <c r="F1662" i="5"/>
  <c r="E1662" i="5"/>
  <c r="H1661" i="5"/>
  <c r="G1661" i="5"/>
  <c r="F1661" i="5"/>
  <c r="E1661" i="5"/>
  <c r="H1660" i="5"/>
  <c r="G1660" i="5"/>
  <c r="F1660" i="5"/>
  <c r="E1660" i="5"/>
  <c r="H1659" i="5"/>
  <c r="G1659" i="5"/>
  <c r="F1659" i="5"/>
  <c r="E1659" i="5"/>
  <c r="H1658" i="5"/>
  <c r="G1658" i="5"/>
  <c r="F1658" i="5"/>
  <c r="E1658" i="5"/>
  <c r="H1657" i="5"/>
  <c r="G1657" i="5"/>
  <c r="F1657" i="5"/>
  <c r="E1657" i="5"/>
  <c r="H1656" i="5"/>
  <c r="G1656" i="5"/>
  <c r="F1656" i="5"/>
  <c r="E1656" i="5"/>
  <c r="H1655" i="5"/>
  <c r="G1655" i="5"/>
  <c r="F1655" i="5"/>
  <c r="E1655" i="5"/>
  <c r="H1654" i="5"/>
  <c r="G1654" i="5"/>
  <c r="F1654" i="5"/>
  <c r="E1654" i="5"/>
  <c r="H1653" i="5"/>
  <c r="G1653" i="5"/>
  <c r="F1653" i="5"/>
  <c r="E1653" i="5"/>
  <c r="H1652" i="5"/>
  <c r="G1652" i="5"/>
  <c r="F1652" i="5"/>
  <c r="E1652" i="5"/>
  <c r="H1651" i="5"/>
  <c r="G1651" i="5"/>
  <c r="F1651" i="5"/>
  <c r="E1651" i="5"/>
  <c r="H1650" i="5"/>
  <c r="G1650" i="5"/>
  <c r="F1650" i="5"/>
  <c r="E1650" i="5"/>
  <c r="H1649" i="5"/>
  <c r="G1649" i="5"/>
  <c r="F1649" i="5"/>
  <c r="E1649" i="5"/>
  <c r="H1648" i="5"/>
  <c r="G1648" i="5"/>
  <c r="F1648" i="5"/>
  <c r="E1648" i="5"/>
  <c r="H1647" i="5"/>
  <c r="G1647" i="5"/>
  <c r="F1647" i="5"/>
  <c r="E1647" i="5"/>
  <c r="H1646" i="5"/>
  <c r="G1646" i="5"/>
  <c r="F1646" i="5"/>
  <c r="E1646" i="5"/>
  <c r="H1645" i="5"/>
  <c r="G1645" i="5"/>
  <c r="F1645" i="5"/>
  <c r="E1645" i="5"/>
  <c r="H1644" i="5"/>
  <c r="G1644" i="5"/>
  <c r="F1644" i="5"/>
  <c r="E1644" i="5"/>
  <c r="H1643" i="5"/>
  <c r="G1643" i="5"/>
  <c r="F1643" i="5"/>
  <c r="E1643" i="5"/>
  <c r="H1642" i="5"/>
  <c r="G1642" i="5"/>
  <c r="F1642" i="5"/>
  <c r="E1642" i="5"/>
  <c r="H1641" i="5"/>
  <c r="G1641" i="5"/>
  <c r="F1641" i="5"/>
  <c r="E1641" i="5"/>
  <c r="H1640" i="5"/>
  <c r="G1640" i="5"/>
  <c r="F1640" i="5"/>
  <c r="E1640" i="5"/>
  <c r="H1639" i="5"/>
  <c r="G1639" i="5"/>
  <c r="F1639" i="5"/>
  <c r="E1639" i="5"/>
  <c r="H1638" i="5"/>
  <c r="G1638" i="5"/>
  <c r="F1638" i="5"/>
  <c r="E1638" i="5"/>
  <c r="H1637" i="5"/>
  <c r="G1637" i="5"/>
  <c r="F1637" i="5"/>
  <c r="E1637" i="5"/>
  <c r="H1636" i="5"/>
  <c r="G1636" i="5"/>
  <c r="F1636" i="5"/>
  <c r="E1636" i="5"/>
  <c r="H1635" i="5"/>
  <c r="G1635" i="5"/>
  <c r="F1635" i="5"/>
  <c r="E1635" i="5"/>
  <c r="H1634" i="5"/>
  <c r="G1634" i="5"/>
  <c r="F1634" i="5"/>
  <c r="E1634" i="5"/>
  <c r="H1633" i="5"/>
  <c r="G1633" i="5"/>
  <c r="F1633" i="5"/>
  <c r="E1633" i="5"/>
  <c r="H1632" i="5"/>
  <c r="G1632" i="5"/>
  <c r="F1632" i="5"/>
  <c r="E1632" i="5"/>
  <c r="H1631" i="5"/>
  <c r="G1631" i="5"/>
  <c r="F1631" i="5"/>
  <c r="E1631" i="5"/>
  <c r="H1630" i="5"/>
  <c r="G1630" i="5"/>
  <c r="F1630" i="5"/>
  <c r="E1630" i="5"/>
  <c r="H1629" i="5"/>
  <c r="G1629" i="5"/>
  <c r="F1629" i="5"/>
  <c r="E1629" i="5"/>
  <c r="H1628" i="5"/>
  <c r="G1628" i="5"/>
  <c r="F1628" i="5"/>
  <c r="E1628" i="5"/>
  <c r="H1627" i="5"/>
  <c r="G1627" i="5"/>
  <c r="F1627" i="5"/>
  <c r="E1627" i="5"/>
  <c r="H1626" i="5"/>
  <c r="G1626" i="5"/>
  <c r="F1626" i="5"/>
  <c r="E1626" i="5"/>
  <c r="H1625" i="5"/>
  <c r="G1625" i="5"/>
  <c r="F1625" i="5"/>
  <c r="E1625" i="5"/>
  <c r="H1624" i="5"/>
  <c r="G1624" i="5"/>
  <c r="F1624" i="5"/>
  <c r="E1624" i="5"/>
  <c r="H1623" i="5"/>
  <c r="G1623" i="5"/>
  <c r="F1623" i="5"/>
  <c r="E1623" i="5"/>
  <c r="H1622" i="5"/>
  <c r="G1622" i="5"/>
  <c r="F1622" i="5"/>
  <c r="E1622" i="5"/>
  <c r="H1621" i="5"/>
  <c r="G1621" i="5"/>
  <c r="F1621" i="5"/>
  <c r="E1621" i="5"/>
  <c r="H1620" i="5"/>
  <c r="G1620" i="5"/>
  <c r="F1620" i="5"/>
  <c r="E1620" i="5"/>
  <c r="H1619" i="5"/>
  <c r="G1619" i="5"/>
  <c r="F1619" i="5"/>
  <c r="E1619" i="5"/>
  <c r="H1618" i="5"/>
  <c r="G1618" i="5"/>
  <c r="F1618" i="5"/>
  <c r="E1618" i="5"/>
  <c r="H1617" i="5"/>
  <c r="G1617" i="5"/>
  <c r="F1617" i="5"/>
  <c r="E1617" i="5"/>
  <c r="H1616" i="5"/>
  <c r="G1616" i="5"/>
  <c r="F1616" i="5"/>
  <c r="E1616" i="5"/>
  <c r="H1615" i="5"/>
  <c r="G1615" i="5"/>
  <c r="F1615" i="5"/>
  <c r="E1615" i="5"/>
  <c r="H1614" i="5"/>
  <c r="G1614" i="5"/>
  <c r="F1614" i="5"/>
  <c r="E1614" i="5"/>
  <c r="H1613" i="5"/>
  <c r="G1613" i="5"/>
  <c r="F1613" i="5"/>
  <c r="E1613" i="5"/>
  <c r="H1612" i="5"/>
  <c r="G1612" i="5"/>
  <c r="F1612" i="5"/>
  <c r="E1612" i="5"/>
  <c r="H1611" i="5"/>
  <c r="G1611" i="5"/>
  <c r="F1611" i="5"/>
  <c r="E1611" i="5"/>
  <c r="H1610" i="5"/>
  <c r="G1610" i="5"/>
  <c r="F1610" i="5"/>
  <c r="E1610" i="5"/>
  <c r="H1609" i="5"/>
  <c r="G1609" i="5"/>
  <c r="F1609" i="5"/>
  <c r="E1609" i="5"/>
  <c r="H1608" i="5"/>
  <c r="G1608" i="5"/>
  <c r="F1608" i="5"/>
  <c r="E1608" i="5"/>
  <c r="H1607" i="5"/>
  <c r="G1607" i="5"/>
  <c r="F1607" i="5"/>
  <c r="E1607" i="5"/>
  <c r="H1606" i="5"/>
  <c r="G1606" i="5"/>
  <c r="F1606" i="5"/>
  <c r="E1606" i="5"/>
  <c r="H1605" i="5"/>
  <c r="G1605" i="5"/>
  <c r="F1605" i="5"/>
  <c r="E1605" i="5"/>
  <c r="H1604" i="5"/>
  <c r="G1604" i="5"/>
  <c r="F1604" i="5"/>
  <c r="E1604" i="5"/>
  <c r="H1603" i="5"/>
  <c r="G1603" i="5"/>
  <c r="F1603" i="5"/>
  <c r="E1603" i="5"/>
  <c r="H1602" i="5"/>
  <c r="G1602" i="5"/>
  <c r="F1602" i="5"/>
  <c r="E1602" i="5"/>
  <c r="H1601" i="5"/>
  <c r="G1601" i="5"/>
  <c r="F1601" i="5"/>
  <c r="E1601" i="5"/>
  <c r="H1600" i="5"/>
  <c r="G1600" i="5"/>
  <c r="F1600" i="5"/>
  <c r="E1600" i="5"/>
  <c r="H1599" i="5"/>
  <c r="G1599" i="5"/>
  <c r="F1599" i="5"/>
  <c r="E1599" i="5"/>
  <c r="H1598" i="5"/>
  <c r="G1598" i="5"/>
  <c r="F1598" i="5"/>
  <c r="E1598" i="5"/>
  <c r="H1597" i="5"/>
  <c r="G1597" i="5"/>
  <c r="F1597" i="5"/>
  <c r="E1597" i="5"/>
  <c r="H1596" i="5"/>
  <c r="G1596" i="5"/>
  <c r="F1596" i="5"/>
  <c r="E1596" i="5"/>
  <c r="H1595" i="5"/>
  <c r="G1595" i="5"/>
  <c r="F1595" i="5"/>
  <c r="E1595" i="5"/>
  <c r="H1594" i="5"/>
  <c r="G1594" i="5"/>
  <c r="F1594" i="5"/>
  <c r="E1594" i="5"/>
  <c r="H1593" i="5"/>
  <c r="G1593" i="5"/>
  <c r="F1593" i="5"/>
  <c r="E1593" i="5"/>
  <c r="H1592" i="5"/>
  <c r="G1592" i="5"/>
  <c r="F1592" i="5"/>
  <c r="E1592" i="5"/>
  <c r="H1591" i="5"/>
  <c r="G1591" i="5"/>
  <c r="F1591" i="5"/>
  <c r="E1591" i="5"/>
  <c r="H1590" i="5"/>
  <c r="G1590" i="5"/>
  <c r="F1590" i="5"/>
  <c r="E1590" i="5"/>
  <c r="H1589" i="5"/>
  <c r="G1589" i="5"/>
  <c r="F1589" i="5"/>
  <c r="E1589" i="5"/>
  <c r="H1588" i="5"/>
  <c r="G1588" i="5"/>
  <c r="F1588" i="5"/>
  <c r="E1588" i="5"/>
  <c r="H1587" i="5"/>
  <c r="G1587" i="5"/>
  <c r="F1587" i="5"/>
  <c r="E1587" i="5"/>
  <c r="H1586" i="5"/>
  <c r="G1586" i="5"/>
  <c r="F1586" i="5"/>
  <c r="E1586" i="5"/>
  <c r="H1585" i="5"/>
  <c r="G1585" i="5"/>
  <c r="F1585" i="5"/>
  <c r="E1585" i="5"/>
  <c r="H1584" i="5"/>
  <c r="G1584" i="5"/>
  <c r="F1584" i="5"/>
  <c r="E1584" i="5"/>
  <c r="H1583" i="5"/>
  <c r="G1583" i="5"/>
  <c r="F1583" i="5"/>
  <c r="E1583" i="5"/>
  <c r="H1582" i="5"/>
  <c r="G1582" i="5"/>
  <c r="F1582" i="5"/>
  <c r="E1582" i="5"/>
  <c r="H1581" i="5"/>
  <c r="G1581" i="5"/>
  <c r="F1581" i="5"/>
  <c r="E1581" i="5"/>
  <c r="H1580" i="5"/>
  <c r="G1580" i="5"/>
  <c r="F1580" i="5"/>
  <c r="E1580" i="5"/>
  <c r="H1579" i="5"/>
  <c r="G1579" i="5"/>
  <c r="F1579" i="5"/>
  <c r="E1579" i="5"/>
  <c r="H1578" i="5"/>
  <c r="G1578" i="5"/>
  <c r="F1578" i="5"/>
  <c r="E1578" i="5"/>
  <c r="H1577" i="5"/>
  <c r="G1577" i="5"/>
  <c r="F1577" i="5"/>
  <c r="E1577" i="5"/>
  <c r="H1576" i="5"/>
  <c r="G1576" i="5"/>
  <c r="F1576" i="5"/>
  <c r="E1576" i="5"/>
  <c r="H1575" i="5"/>
  <c r="G1575" i="5"/>
  <c r="F1575" i="5"/>
  <c r="E1575" i="5"/>
  <c r="H1574" i="5"/>
  <c r="G1574" i="5"/>
  <c r="F1574" i="5"/>
  <c r="E1574" i="5"/>
  <c r="H1573" i="5"/>
  <c r="G1573" i="5"/>
  <c r="F1573" i="5"/>
  <c r="E1573" i="5"/>
  <c r="H1572" i="5"/>
  <c r="G1572" i="5"/>
  <c r="F1572" i="5"/>
  <c r="E1572" i="5"/>
  <c r="H1571" i="5"/>
  <c r="G1571" i="5"/>
  <c r="F1571" i="5"/>
  <c r="E1571" i="5"/>
  <c r="H1570" i="5"/>
  <c r="G1570" i="5"/>
  <c r="F1570" i="5"/>
  <c r="E1570" i="5"/>
  <c r="H1569" i="5"/>
  <c r="G1569" i="5"/>
  <c r="F1569" i="5"/>
  <c r="E1569" i="5"/>
  <c r="H1568" i="5"/>
  <c r="G1568" i="5"/>
  <c r="F1568" i="5"/>
  <c r="E1568" i="5"/>
  <c r="H1567" i="5"/>
  <c r="G1567" i="5"/>
  <c r="F1567" i="5"/>
  <c r="E1567" i="5"/>
  <c r="H1566" i="5"/>
  <c r="G1566" i="5"/>
  <c r="F1566" i="5"/>
  <c r="E1566" i="5"/>
  <c r="H1565" i="5"/>
  <c r="G1565" i="5"/>
  <c r="F1565" i="5"/>
  <c r="E1565" i="5"/>
  <c r="H1564" i="5"/>
  <c r="G1564" i="5"/>
  <c r="F1564" i="5"/>
  <c r="E1564" i="5"/>
  <c r="H1563" i="5"/>
  <c r="G1563" i="5"/>
  <c r="F1563" i="5"/>
  <c r="E1563" i="5"/>
  <c r="H1562" i="5"/>
  <c r="G1562" i="5"/>
  <c r="F1562" i="5"/>
  <c r="E1562" i="5"/>
  <c r="H1561" i="5"/>
  <c r="G1561" i="5"/>
  <c r="F1561" i="5"/>
  <c r="E1561" i="5"/>
  <c r="H1560" i="5"/>
  <c r="G1560" i="5"/>
  <c r="F1560" i="5"/>
  <c r="E1560" i="5"/>
  <c r="H1559" i="5"/>
  <c r="G1559" i="5"/>
  <c r="F1559" i="5"/>
  <c r="E1559" i="5"/>
  <c r="H1558" i="5"/>
  <c r="G1558" i="5"/>
  <c r="F1558" i="5"/>
  <c r="E1558" i="5"/>
  <c r="H1557" i="5"/>
  <c r="G1557" i="5"/>
  <c r="F1557" i="5"/>
  <c r="E1557" i="5"/>
  <c r="H1556" i="5"/>
  <c r="G1556" i="5"/>
  <c r="F1556" i="5"/>
  <c r="E1556" i="5"/>
  <c r="H1555" i="5"/>
  <c r="G1555" i="5"/>
  <c r="F1555" i="5"/>
  <c r="E1555" i="5"/>
  <c r="H1554" i="5"/>
  <c r="G1554" i="5"/>
  <c r="F1554" i="5"/>
  <c r="E1554" i="5"/>
  <c r="H1553" i="5"/>
  <c r="G1553" i="5"/>
  <c r="F1553" i="5"/>
  <c r="E1553" i="5"/>
  <c r="H1552" i="5"/>
  <c r="G1552" i="5"/>
  <c r="F1552" i="5"/>
  <c r="E1552" i="5"/>
  <c r="H1551" i="5"/>
  <c r="G1551" i="5"/>
  <c r="F1551" i="5"/>
  <c r="E1551" i="5"/>
  <c r="H1550" i="5"/>
  <c r="G1550" i="5"/>
  <c r="F1550" i="5"/>
  <c r="E1550" i="5"/>
  <c r="H1549" i="5"/>
  <c r="G1549" i="5"/>
  <c r="F1549" i="5"/>
  <c r="E1549" i="5"/>
  <c r="H1548" i="5"/>
  <c r="G1548" i="5"/>
  <c r="F1548" i="5"/>
  <c r="E1548" i="5"/>
  <c r="H1547" i="5"/>
  <c r="G1547" i="5"/>
  <c r="F1547" i="5"/>
  <c r="E1547" i="5"/>
  <c r="H1546" i="5"/>
  <c r="G1546" i="5"/>
  <c r="F1546" i="5"/>
  <c r="E1546" i="5"/>
  <c r="H1545" i="5"/>
  <c r="G1545" i="5"/>
  <c r="F1545" i="5"/>
  <c r="E1545" i="5"/>
  <c r="H1544" i="5"/>
  <c r="G1544" i="5"/>
  <c r="F1544" i="5"/>
  <c r="E1544" i="5"/>
  <c r="H1543" i="5"/>
  <c r="G1543" i="5"/>
  <c r="F1543" i="5"/>
  <c r="E1543" i="5"/>
  <c r="H1542" i="5"/>
  <c r="G1542" i="5"/>
  <c r="F1542" i="5"/>
  <c r="E1542" i="5"/>
  <c r="H1541" i="5"/>
  <c r="G1541" i="5"/>
  <c r="F1541" i="5"/>
  <c r="E1541" i="5"/>
  <c r="H1540" i="5"/>
  <c r="G1540" i="5"/>
  <c r="F1540" i="5"/>
  <c r="E1540" i="5"/>
  <c r="H1539" i="5"/>
  <c r="G1539" i="5"/>
  <c r="F1539" i="5"/>
  <c r="E1539" i="5"/>
  <c r="H1538" i="5"/>
  <c r="G1538" i="5"/>
  <c r="F1538" i="5"/>
  <c r="E1538" i="5"/>
  <c r="H1537" i="5"/>
  <c r="G1537" i="5"/>
  <c r="F1537" i="5"/>
  <c r="E1537" i="5"/>
  <c r="H1536" i="5"/>
  <c r="G1536" i="5"/>
  <c r="F1536" i="5"/>
  <c r="E1536" i="5"/>
  <c r="H1535" i="5"/>
  <c r="G1535" i="5"/>
  <c r="F1535" i="5"/>
  <c r="E1535" i="5"/>
  <c r="H1534" i="5"/>
  <c r="G1534" i="5"/>
  <c r="F1534" i="5"/>
  <c r="E1534" i="5"/>
  <c r="H1533" i="5"/>
  <c r="G1533" i="5"/>
  <c r="F1533" i="5"/>
  <c r="E1533" i="5"/>
  <c r="H1532" i="5"/>
  <c r="G1532" i="5"/>
  <c r="F1532" i="5"/>
  <c r="E1532" i="5"/>
  <c r="H1531" i="5"/>
  <c r="G1531" i="5"/>
  <c r="F1531" i="5"/>
  <c r="E1531" i="5"/>
  <c r="H1530" i="5"/>
  <c r="G1530" i="5"/>
  <c r="F1530" i="5"/>
  <c r="E1530" i="5"/>
  <c r="H1529" i="5"/>
  <c r="G1529" i="5"/>
  <c r="F1529" i="5"/>
  <c r="E1529" i="5"/>
  <c r="H1528" i="5"/>
  <c r="G1528" i="5"/>
  <c r="F1528" i="5"/>
  <c r="E1528" i="5"/>
  <c r="H1527" i="5"/>
  <c r="G1527" i="5"/>
  <c r="F1527" i="5"/>
  <c r="E1527" i="5"/>
  <c r="H1526" i="5"/>
  <c r="G1526" i="5"/>
  <c r="F1526" i="5"/>
  <c r="E1526" i="5"/>
  <c r="H1525" i="5"/>
  <c r="G1525" i="5"/>
  <c r="F1525" i="5"/>
  <c r="E1525" i="5"/>
  <c r="H1524" i="5"/>
  <c r="G1524" i="5"/>
  <c r="F1524" i="5"/>
  <c r="E1524" i="5"/>
  <c r="H1523" i="5"/>
  <c r="G1523" i="5"/>
  <c r="F1523" i="5"/>
  <c r="E1523" i="5"/>
  <c r="H1522" i="5"/>
  <c r="G1522" i="5"/>
  <c r="F1522" i="5"/>
  <c r="E1522" i="5"/>
  <c r="H1521" i="5"/>
  <c r="G1521" i="5"/>
  <c r="F1521" i="5"/>
  <c r="E1521" i="5"/>
  <c r="H1520" i="5"/>
  <c r="G1520" i="5"/>
  <c r="F1520" i="5"/>
  <c r="E1520" i="5"/>
  <c r="H1519" i="5"/>
  <c r="G1519" i="5"/>
  <c r="F1519" i="5"/>
  <c r="E1519" i="5"/>
  <c r="H1518" i="5"/>
  <c r="G1518" i="5"/>
  <c r="F1518" i="5"/>
  <c r="E1518" i="5"/>
  <c r="H1517" i="5"/>
  <c r="G1517" i="5"/>
  <c r="F1517" i="5"/>
  <c r="E1517" i="5"/>
  <c r="H1516" i="5"/>
  <c r="G1516" i="5"/>
  <c r="F1516" i="5"/>
  <c r="E1516" i="5"/>
  <c r="H1515" i="5"/>
  <c r="G1515" i="5"/>
  <c r="F1515" i="5"/>
  <c r="E1515" i="5"/>
  <c r="H1514" i="5"/>
  <c r="G1514" i="5"/>
  <c r="F1514" i="5"/>
  <c r="E1514" i="5"/>
  <c r="H1513" i="5"/>
  <c r="G1513" i="5"/>
  <c r="F1513" i="5"/>
  <c r="E1513" i="5"/>
  <c r="H1512" i="5"/>
  <c r="G1512" i="5"/>
  <c r="F1512" i="5"/>
  <c r="E1512" i="5"/>
  <c r="H1511" i="5"/>
  <c r="G1511" i="5"/>
  <c r="F1511" i="5"/>
  <c r="E1511" i="5"/>
  <c r="H1510" i="5"/>
  <c r="G1510" i="5"/>
  <c r="F1510" i="5"/>
  <c r="E1510" i="5"/>
  <c r="H1509" i="5"/>
  <c r="G1509" i="5"/>
  <c r="F1509" i="5"/>
  <c r="E1509" i="5"/>
  <c r="H1508" i="5"/>
  <c r="G1508" i="5"/>
  <c r="F1508" i="5"/>
  <c r="E1508" i="5"/>
  <c r="H1507" i="5"/>
  <c r="G1507" i="5"/>
  <c r="F1507" i="5"/>
  <c r="E1507" i="5"/>
  <c r="H1506" i="5"/>
  <c r="G1506" i="5"/>
  <c r="F1506" i="5"/>
  <c r="E1506" i="5"/>
  <c r="H1505" i="5"/>
  <c r="G1505" i="5"/>
  <c r="F1505" i="5"/>
  <c r="E1505" i="5"/>
  <c r="H1504" i="5"/>
  <c r="G1504" i="5"/>
  <c r="F1504" i="5"/>
  <c r="E1504" i="5"/>
  <c r="H1503" i="5"/>
  <c r="G1503" i="5"/>
  <c r="F1503" i="5"/>
  <c r="E1503" i="5"/>
  <c r="H1502" i="5"/>
  <c r="G1502" i="5"/>
  <c r="F1502" i="5"/>
  <c r="E1502" i="5"/>
  <c r="H1501" i="5"/>
  <c r="G1501" i="5"/>
  <c r="F1501" i="5"/>
  <c r="E1501" i="5"/>
  <c r="H1500" i="5"/>
  <c r="G1500" i="5"/>
  <c r="F1500" i="5"/>
  <c r="E1500" i="5"/>
  <c r="H1499" i="5"/>
  <c r="G1499" i="5"/>
  <c r="F1499" i="5"/>
  <c r="E1499" i="5"/>
  <c r="H1498" i="5"/>
  <c r="G1498" i="5"/>
  <c r="F1498" i="5"/>
  <c r="E1498" i="5"/>
  <c r="H1497" i="5"/>
  <c r="G1497" i="5"/>
  <c r="F1497" i="5"/>
  <c r="E1497" i="5"/>
  <c r="H1496" i="5"/>
  <c r="G1496" i="5"/>
  <c r="F1496" i="5"/>
  <c r="E1496" i="5"/>
  <c r="H1495" i="5"/>
  <c r="G1495" i="5"/>
  <c r="F1495" i="5"/>
  <c r="E1495" i="5"/>
  <c r="H1494" i="5"/>
  <c r="G1494" i="5"/>
  <c r="F1494" i="5"/>
  <c r="E1494" i="5"/>
  <c r="H1493" i="5"/>
  <c r="G1493" i="5"/>
  <c r="F1493" i="5"/>
  <c r="E1493" i="5"/>
  <c r="H1492" i="5"/>
  <c r="G1492" i="5"/>
  <c r="F1492" i="5"/>
  <c r="E1492" i="5"/>
  <c r="H1491" i="5"/>
  <c r="G1491" i="5"/>
  <c r="F1491" i="5"/>
  <c r="E1491" i="5"/>
  <c r="H1490" i="5"/>
  <c r="G1490" i="5"/>
  <c r="F1490" i="5"/>
  <c r="E1490" i="5"/>
  <c r="H1489" i="5"/>
  <c r="G1489" i="5"/>
  <c r="F1489" i="5"/>
  <c r="E1489" i="5"/>
  <c r="H1488" i="5"/>
  <c r="G1488" i="5"/>
  <c r="F1488" i="5"/>
  <c r="E1488" i="5"/>
  <c r="H1487" i="5"/>
  <c r="G1487" i="5"/>
  <c r="F1487" i="5"/>
  <c r="E1487" i="5"/>
  <c r="H1486" i="5"/>
  <c r="G1486" i="5"/>
  <c r="F1486" i="5"/>
  <c r="E1486" i="5"/>
  <c r="H1485" i="5"/>
  <c r="G1485" i="5"/>
  <c r="F1485" i="5"/>
  <c r="E1485" i="5"/>
  <c r="H1484" i="5"/>
  <c r="G1484" i="5"/>
  <c r="F1484" i="5"/>
  <c r="E1484" i="5"/>
  <c r="H1483" i="5"/>
  <c r="G1483" i="5"/>
  <c r="F1483" i="5"/>
  <c r="E1483" i="5"/>
  <c r="H1482" i="5"/>
  <c r="G1482" i="5"/>
  <c r="F1482" i="5"/>
  <c r="E1482" i="5"/>
  <c r="H1481" i="5"/>
  <c r="G1481" i="5"/>
  <c r="F1481" i="5"/>
  <c r="E1481" i="5"/>
  <c r="H1480" i="5"/>
  <c r="G1480" i="5"/>
  <c r="F1480" i="5"/>
  <c r="E1480" i="5"/>
  <c r="H1479" i="5"/>
  <c r="G1479" i="5"/>
  <c r="F1479" i="5"/>
  <c r="E1479" i="5"/>
  <c r="H1478" i="5"/>
  <c r="G1478" i="5"/>
  <c r="F1478" i="5"/>
  <c r="E1478" i="5"/>
  <c r="H1477" i="5"/>
  <c r="G1477" i="5"/>
  <c r="F1477" i="5"/>
  <c r="E1477" i="5"/>
  <c r="H1476" i="5"/>
  <c r="G1476" i="5"/>
  <c r="F1476" i="5"/>
  <c r="E1476" i="5"/>
  <c r="H1475" i="5"/>
  <c r="G1475" i="5"/>
  <c r="F1475" i="5"/>
  <c r="E1475" i="5"/>
  <c r="H1474" i="5"/>
  <c r="G1474" i="5"/>
  <c r="F1474" i="5"/>
  <c r="E1474" i="5"/>
  <c r="H1473" i="5"/>
  <c r="G1473" i="5"/>
  <c r="F1473" i="5"/>
  <c r="E1473" i="5"/>
  <c r="H1472" i="5"/>
  <c r="G1472" i="5"/>
  <c r="F1472" i="5"/>
  <c r="E1472" i="5"/>
  <c r="H1471" i="5"/>
  <c r="G1471" i="5"/>
  <c r="F1471" i="5"/>
  <c r="E1471" i="5"/>
  <c r="H1470" i="5"/>
  <c r="G1470" i="5"/>
  <c r="F1470" i="5"/>
  <c r="E1470" i="5"/>
  <c r="H1469" i="5"/>
  <c r="G1469" i="5"/>
  <c r="F1469" i="5"/>
  <c r="E1469" i="5"/>
  <c r="H1468" i="5"/>
  <c r="G1468" i="5"/>
  <c r="F1468" i="5"/>
  <c r="E1468" i="5"/>
  <c r="H1467" i="5"/>
  <c r="G1467" i="5"/>
  <c r="F1467" i="5"/>
  <c r="E1467" i="5"/>
  <c r="H1466" i="5"/>
  <c r="G1466" i="5"/>
  <c r="F1466" i="5"/>
  <c r="E1466" i="5"/>
  <c r="H1465" i="5"/>
  <c r="G1465" i="5"/>
  <c r="F1465" i="5"/>
  <c r="E1465" i="5"/>
  <c r="H1464" i="5"/>
  <c r="G1464" i="5"/>
  <c r="F1464" i="5"/>
  <c r="E1464" i="5"/>
  <c r="H1463" i="5"/>
  <c r="G1463" i="5"/>
  <c r="F1463" i="5"/>
  <c r="E1463" i="5"/>
  <c r="H1462" i="5"/>
  <c r="G1462" i="5"/>
  <c r="F1462" i="5"/>
  <c r="E1462" i="5"/>
  <c r="H1461" i="5"/>
  <c r="G1461" i="5"/>
  <c r="F1461" i="5"/>
  <c r="E1461" i="5"/>
  <c r="H1460" i="5"/>
  <c r="G1460" i="5"/>
  <c r="F1460" i="5"/>
  <c r="E1460" i="5"/>
  <c r="H1459" i="5"/>
  <c r="G1459" i="5"/>
  <c r="F1459" i="5"/>
  <c r="E1459" i="5"/>
  <c r="H1458" i="5"/>
  <c r="G1458" i="5"/>
  <c r="F1458" i="5"/>
  <c r="E1458" i="5"/>
  <c r="H1457" i="5"/>
  <c r="G1457" i="5"/>
  <c r="F1457" i="5"/>
  <c r="E1457" i="5"/>
  <c r="H1456" i="5"/>
  <c r="G1456" i="5"/>
  <c r="F1456" i="5"/>
  <c r="E1456" i="5"/>
  <c r="H1455" i="5"/>
  <c r="G1455" i="5"/>
  <c r="F1455" i="5"/>
  <c r="E1455" i="5"/>
  <c r="H1454" i="5"/>
  <c r="G1454" i="5"/>
  <c r="F1454" i="5"/>
  <c r="E1454" i="5"/>
  <c r="H1453" i="5"/>
  <c r="G1453" i="5"/>
  <c r="F1453" i="5"/>
  <c r="E1453" i="5"/>
  <c r="H1452" i="5"/>
  <c r="G1452" i="5"/>
  <c r="F1452" i="5"/>
  <c r="E1452" i="5"/>
  <c r="H1451" i="5"/>
  <c r="G1451" i="5"/>
  <c r="F1451" i="5"/>
  <c r="E1451" i="5"/>
  <c r="H1450" i="5"/>
  <c r="G1450" i="5"/>
  <c r="F1450" i="5"/>
  <c r="E1450" i="5"/>
  <c r="H1449" i="5"/>
  <c r="G1449" i="5"/>
  <c r="F1449" i="5"/>
  <c r="E1449" i="5"/>
  <c r="H1448" i="5"/>
  <c r="G1448" i="5"/>
  <c r="F1448" i="5"/>
  <c r="E1448" i="5"/>
  <c r="H1447" i="5"/>
  <c r="G1447" i="5"/>
  <c r="F1447" i="5"/>
  <c r="E1447" i="5"/>
  <c r="H1446" i="5"/>
  <c r="G1446" i="5"/>
  <c r="F1446" i="5"/>
  <c r="E1446" i="5"/>
  <c r="H1445" i="5"/>
  <c r="G1445" i="5"/>
  <c r="F1445" i="5"/>
  <c r="E1445" i="5"/>
  <c r="H1444" i="5"/>
  <c r="G1444" i="5"/>
  <c r="F1444" i="5"/>
  <c r="E1444" i="5"/>
  <c r="H1443" i="5"/>
  <c r="G1443" i="5"/>
  <c r="F1443" i="5"/>
  <c r="E1443" i="5"/>
  <c r="H1442" i="5"/>
  <c r="G1442" i="5"/>
  <c r="F1442" i="5"/>
  <c r="E1442" i="5"/>
  <c r="H1441" i="5"/>
  <c r="G1441" i="5"/>
  <c r="F1441" i="5"/>
  <c r="E1441" i="5"/>
  <c r="H1440" i="5"/>
  <c r="G1440" i="5"/>
  <c r="F1440" i="5"/>
  <c r="E1440" i="5"/>
  <c r="H1439" i="5"/>
  <c r="G1439" i="5"/>
  <c r="F1439" i="5"/>
  <c r="E1439" i="5"/>
  <c r="H1438" i="5"/>
  <c r="G1438" i="5"/>
  <c r="F1438" i="5"/>
  <c r="E1438" i="5"/>
  <c r="H1437" i="5"/>
  <c r="G1437" i="5"/>
  <c r="F1437" i="5"/>
  <c r="E1437" i="5"/>
  <c r="H1436" i="5"/>
  <c r="G1436" i="5"/>
  <c r="F1436" i="5"/>
  <c r="E1436" i="5"/>
  <c r="H1435" i="5"/>
  <c r="G1435" i="5"/>
  <c r="F1435" i="5"/>
  <c r="E1435" i="5"/>
  <c r="H1434" i="5"/>
  <c r="G1434" i="5"/>
  <c r="F1434" i="5"/>
  <c r="E1434" i="5"/>
  <c r="H1433" i="5"/>
  <c r="G1433" i="5"/>
  <c r="F1433" i="5"/>
  <c r="E1433" i="5"/>
  <c r="H1432" i="5"/>
  <c r="G1432" i="5"/>
  <c r="F1432" i="5"/>
  <c r="E1432" i="5"/>
  <c r="H1431" i="5"/>
  <c r="G1431" i="5"/>
  <c r="F1431" i="5"/>
  <c r="E1431" i="5"/>
  <c r="H1430" i="5"/>
  <c r="G1430" i="5"/>
  <c r="F1430" i="5"/>
  <c r="E1430" i="5"/>
  <c r="H1429" i="5"/>
  <c r="G1429" i="5"/>
  <c r="F1429" i="5"/>
  <c r="E1429" i="5"/>
  <c r="H1428" i="5"/>
  <c r="G1428" i="5"/>
  <c r="F1428" i="5"/>
  <c r="E1428" i="5"/>
  <c r="H1427" i="5"/>
  <c r="G1427" i="5"/>
  <c r="F1427" i="5"/>
  <c r="E1427" i="5"/>
  <c r="H1426" i="5"/>
  <c r="G1426" i="5"/>
  <c r="F1426" i="5"/>
  <c r="E1426" i="5"/>
  <c r="H1425" i="5"/>
  <c r="G1425" i="5"/>
  <c r="F1425" i="5"/>
  <c r="E1425" i="5"/>
  <c r="H1424" i="5"/>
  <c r="G1424" i="5"/>
  <c r="F1424" i="5"/>
  <c r="E1424" i="5"/>
  <c r="H1423" i="5"/>
  <c r="G1423" i="5"/>
  <c r="F1423" i="5"/>
  <c r="E1423" i="5"/>
  <c r="H1422" i="5"/>
  <c r="G1422" i="5"/>
  <c r="F1422" i="5"/>
  <c r="E1422" i="5"/>
  <c r="H1421" i="5"/>
  <c r="G1421" i="5"/>
  <c r="F1421" i="5"/>
  <c r="E1421" i="5"/>
  <c r="H1420" i="5"/>
  <c r="G1420" i="5"/>
  <c r="F1420" i="5"/>
  <c r="E1420" i="5"/>
  <c r="H1419" i="5"/>
  <c r="G1419" i="5"/>
  <c r="F1419" i="5"/>
  <c r="E1419" i="5"/>
  <c r="H1418" i="5"/>
  <c r="G1418" i="5"/>
  <c r="F1418" i="5"/>
  <c r="E1418" i="5"/>
  <c r="H1417" i="5"/>
  <c r="G1417" i="5"/>
  <c r="F1417" i="5"/>
  <c r="E1417" i="5"/>
  <c r="H1416" i="5"/>
  <c r="G1416" i="5"/>
  <c r="F1416" i="5"/>
  <c r="E1416" i="5"/>
  <c r="H1415" i="5"/>
  <c r="G1415" i="5"/>
  <c r="F1415" i="5"/>
  <c r="E1415" i="5"/>
  <c r="H1414" i="5"/>
  <c r="G1414" i="5"/>
  <c r="F1414" i="5"/>
  <c r="E1414" i="5"/>
  <c r="H1413" i="5"/>
  <c r="G1413" i="5"/>
  <c r="F1413" i="5"/>
  <c r="E1413" i="5"/>
  <c r="H1412" i="5"/>
  <c r="G1412" i="5"/>
  <c r="F1412" i="5"/>
  <c r="E1412" i="5"/>
  <c r="H1411" i="5"/>
  <c r="G1411" i="5"/>
  <c r="F1411" i="5"/>
  <c r="E1411" i="5"/>
  <c r="H1410" i="5"/>
  <c r="G1410" i="5"/>
  <c r="F1410" i="5"/>
  <c r="E1410" i="5"/>
  <c r="H1409" i="5"/>
  <c r="G1409" i="5"/>
  <c r="F1409" i="5"/>
  <c r="E1409" i="5"/>
  <c r="H1408" i="5"/>
  <c r="G1408" i="5"/>
  <c r="F1408" i="5"/>
  <c r="E1408" i="5"/>
  <c r="H1407" i="5"/>
  <c r="G1407" i="5"/>
  <c r="F1407" i="5"/>
  <c r="E1407" i="5"/>
  <c r="H1406" i="5"/>
  <c r="G1406" i="5"/>
  <c r="F1406" i="5"/>
  <c r="E1406" i="5"/>
  <c r="H1405" i="5"/>
  <c r="G1405" i="5"/>
  <c r="F1405" i="5"/>
  <c r="E1405" i="5"/>
  <c r="H1404" i="5"/>
  <c r="G1404" i="5"/>
  <c r="F1404" i="5"/>
  <c r="E1404" i="5"/>
  <c r="H1403" i="5"/>
  <c r="G1403" i="5"/>
  <c r="F1403" i="5"/>
  <c r="E1403" i="5"/>
  <c r="H1402" i="5"/>
  <c r="G1402" i="5"/>
  <c r="F1402" i="5"/>
  <c r="E1402" i="5"/>
  <c r="H1401" i="5"/>
  <c r="G1401" i="5"/>
  <c r="F1401" i="5"/>
  <c r="E1401" i="5"/>
  <c r="H1400" i="5"/>
  <c r="G1400" i="5"/>
  <c r="F1400" i="5"/>
  <c r="E1400" i="5"/>
  <c r="H1399" i="5"/>
  <c r="G1399" i="5"/>
  <c r="F1399" i="5"/>
  <c r="E1399" i="5"/>
  <c r="H1398" i="5"/>
  <c r="G1398" i="5"/>
  <c r="F1398" i="5"/>
  <c r="E1398" i="5"/>
  <c r="H1397" i="5"/>
  <c r="G1397" i="5"/>
  <c r="F1397" i="5"/>
  <c r="E1397" i="5"/>
  <c r="H1396" i="5"/>
  <c r="G1396" i="5"/>
  <c r="F1396" i="5"/>
  <c r="E1396" i="5"/>
  <c r="H1395" i="5"/>
  <c r="G1395" i="5"/>
  <c r="F1395" i="5"/>
  <c r="E1395" i="5"/>
  <c r="H1394" i="5"/>
  <c r="G1394" i="5"/>
  <c r="F1394" i="5"/>
  <c r="E1394" i="5"/>
  <c r="H1393" i="5"/>
  <c r="G1393" i="5"/>
  <c r="F1393" i="5"/>
  <c r="E1393" i="5"/>
  <c r="H1392" i="5"/>
  <c r="G1392" i="5"/>
  <c r="F1392" i="5"/>
  <c r="E1392" i="5"/>
  <c r="H1391" i="5"/>
  <c r="G1391" i="5"/>
  <c r="F1391" i="5"/>
  <c r="E1391" i="5"/>
  <c r="H1390" i="5"/>
  <c r="G1390" i="5"/>
  <c r="F1390" i="5"/>
  <c r="E1390" i="5"/>
  <c r="H1389" i="5"/>
  <c r="G1389" i="5"/>
  <c r="F1389" i="5"/>
  <c r="E1389" i="5"/>
  <c r="H1388" i="5"/>
  <c r="G1388" i="5"/>
  <c r="F1388" i="5"/>
  <c r="E1388" i="5"/>
  <c r="H1387" i="5"/>
  <c r="G1387" i="5"/>
  <c r="F1387" i="5"/>
  <c r="E1387" i="5"/>
  <c r="H1386" i="5"/>
  <c r="G1386" i="5"/>
  <c r="F1386" i="5"/>
  <c r="E1386" i="5"/>
  <c r="H1385" i="5"/>
  <c r="G1385" i="5"/>
  <c r="F1385" i="5"/>
  <c r="E1385" i="5"/>
  <c r="H1384" i="5"/>
  <c r="G1384" i="5"/>
  <c r="F1384" i="5"/>
  <c r="E1384" i="5"/>
  <c r="H1383" i="5"/>
  <c r="G1383" i="5"/>
  <c r="F1383" i="5"/>
  <c r="E1383" i="5"/>
  <c r="H1382" i="5"/>
  <c r="G1382" i="5"/>
  <c r="F1382" i="5"/>
  <c r="E1382" i="5"/>
  <c r="H1381" i="5"/>
  <c r="G1381" i="5"/>
  <c r="F1381" i="5"/>
  <c r="E1381" i="5"/>
  <c r="H1380" i="5"/>
  <c r="G1380" i="5"/>
  <c r="F1380" i="5"/>
  <c r="E1380" i="5"/>
  <c r="H1379" i="5"/>
  <c r="G1379" i="5"/>
  <c r="F1379" i="5"/>
  <c r="E1379" i="5"/>
  <c r="H1378" i="5"/>
  <c r="G1378" i="5"/>
  <c r="F1378" i="5"/>
  <c r="E1378" i="5"/>
  <c r="H1377" i="5"/>
  <c r="G1377" i="5"/>
  <c r="F1377" i="5"/>
  <c r="E1377" i="5"/>
  <c r="H1376" i="5"/>
  <c r="G1376" i="5"/>
  <c r="F1376" i="5"/>
  <c r="E1376" i="5"/>
  <c r="H1375" i="5"/>
  <c r="G1375" i="5"/>
  <c r="F1375" i="5"/>
  <c r="E1375" i="5"/>
  <c r="H1374" i="5"/>
  <c r="G1374" i="5"/>
  <c r="F1374" i="5"/>
  <c r="E1374" i="5"/>
  <c r="H1373" i="5"/>
  <c r="G1373" i="5"/>
  <c r="F1373" i="5"/>
  <c r="E1373" i="5"/>
  <c r="H1372" i="5"/>
  <c r="G1372" i="5"/>
  <c r="F1372" i="5"/>
  <c r="E1372" i="5"/>
  <c r="H1371" i="5"/>
  <c r="G1371" i="5"/>
  <c r="F1371" i="5"/>
  <c r="E1371" i="5"/>
  <c r="H1370" i="5"/>
  <c r="G1370" i="5"/>
  <c r="F1370" i="5"/>
  <c r="E1370" i="5"/>
  <c r="H1369" i="5"/>
  <c r="G1369" i="5"/>
  <c r="F1369" i="5"/>
  <c r="E1369" i="5"/>
  <c r="H1368" i="5"/>
  <c r="G1368" i="5"/>
  <c r="F1368" i="5"/>
  <c r="E1368" i="5"/>
  <c r="H1367" i="5"/>
  <c r="G1367" i="5"/>
  <c r="F1367" i="5"/>
  <c r="E1367" i="5"/>
  <c r="H1366" i="5"/>
  <c r="G1366" i="5"/>
  <c r="F1366" i="5"/>
  <c r="E1366" i="5"/>
  <c r="H1365" i="5"/>
  <c r="G1365" i="5"/>
  <c r="F1365" i="5"/>
  <c r="E1365" i="5"/>
  <c r="H1364" i="5"/>
  <c r="G1364" i="5"/>
  <c r="F1364" i="5"/>
  <c r="E1364" i="5"/>
  <c r="H1363" i="5"/>
  <c r="G1363" i="5"/>
  <c r="F1363" i="5"/>
  <c r="E1363" i="5"/>
  <c r="H1362" i="5"/>
  <c r="G1362" i="5"/>
  <c r="F1362" i="5"/>
  <c r="E1362" i="5"/>
  <c r="H1361" i="5"/>
  <c r="G1361" i="5"/>
  <c r="F1361" i="5"/>
  <c r="E1361" i="5"/>
  <c r="H1360" i="5"/>
  <c r="G1360" i="5"/>
  <c r="F1360" i="5"/>
  <c r="E1360" i="5"/>
  <c r="H1359" i="5"/>
  <c r="G1359" i="5"/>
  <c r="F1359" i="5"/>
  <c r="E1359" i="5"/>
  <c r="H1358" i="5"/>
  <c r="G1358" i="5"/>
  <c r="F1358" i="5"/>
  <c r="E1358" i="5"/>
  <c r="H1357" i="5"/>
  <c r="G1357" i="5"/>
  <c r="F1357" i="5"/>
  <c r="E1357" i="5"/>
  <c r="H1356" i="5"/>
  <c r="G1356" i="5"/>
  <c r="F1356" i="5"/>
  <c r="E1356" i="5"/>
  <c r="H1355" i="5"/>
  <c r="G1355" i="5"/>
  <c r="F1355" i="5"/>
  <c r="E1355" i="5"/>
  <c r="H1354" i="5"/>
  <c r="G1354" i="5"/>
  <c r="F1354" i="5"/>
  <c r="E1354" i="5"/>
  <c r="H1353" i="5"/>
  <c r="G1353" i="5"/>
  <c r="F1353" i="5"/>
  <c r="E1353" i="5"/>
  <c r="H1352" i="5"/>
  <c r="G1352" i="5"/>
  <c r="F1352" i="5"/>
  <c r="E1352" i="5"/>
  <c r="H1351" i="5"/>
  <c r="G1351" i="5"/>
  <c r="F1351" i="5"/>
  <c r="E1351" i="5"/>
  <c r="H1350" i="5"/>
  <c r="G1350" i="5"/>
  <c r="F1350" i="5"/>
  <c r="E1350" i="5"/>
  <c r="H1349" i="5"/>
  <c r="G1349" i="5"/>
  <c r="F1349" i="5"/>
  <c r="E1349" i="5"/>
  <c r="H1348" i="5"/>
  <c r="G1348" i="5"/>
  <c r="F1348" i="5"/>
  <c r="E1348" i="5"/>
  <c r="H1347" i="5"/>
  <c r="G1347" i="5"/>
  <c r="F1347" i="5"/>
  <c r="E1347" i="5"/>
  <c r="H1346" i="5"/>
  <c r="G1346" i="5"/>
  <c r="F1346" i="5"/>
  <c r="E1346" i="5"/>
  <c r="H1345" i="5"/>
  <c r="G1345" i="5"/>
  <c r="F1345" i="5"/>
  <c r="E1345" i="5"/>
  <c r="H1344" i="5"/>
  <c r="G1344" i="5"/>
  <c r="F1344" i="5"/>
  <c r="E1344" i="5"/>
  <c r="H1343" i="5"/>
  <c r="G1343" i="5"/>
  <c r="F1343" i="5"/>
  <c r="E1343" i="5"/>
  <c r="H1342" i="5"/>
  <c r="G1342" i="5"/>
  <c r="F1342" i="5"/>
  <c r="E1342" i="5"/>
  <c r="H1341" i="5"/>
  <c r="G1341" i="5"/>
  <c r="F1341" i="5"/>
  <c r="E1341" i="5"/>
  <c r="H1340" i="5"/>
  <c r="G1340" i="5"/>
  <c r="F1340" i="5"/>
  <c r="E1340" i="5"/>
  <c r="H1339" i="5"/>
  <c r="G1339" i="5"/>
  <c r="F1339" i="5"/>
  <c r="E1339" i="5"/>
  <c r="H1338" i="5"/>
  <c r="G1338" i="5"/>
  <c r="F1338" i="5"/>
  <c r="E1338" i="5"/>
  <c r="H1337" i="5"/>
  <c r="G1337" i="5"/>
  <c r="F1337" i="5"/>
  <c r="E1337" i="5"/>
  <c r="H1336" i="5"/>
  <c r="G1336" i="5"/>
  <c r="F1336" i="5"/>
  <c r="E1336" i="5"/>
  <c r="H1335" i="5"/>
  <c r="G1335" i="5"/>
  <c r="F1335" i="5"/>
  <c r="E1335" i="5"/>
  <c r="H1334" i="5"/>
  <c r="G1334" i="5"/>
  <c r="F1334" i="5"/>
  <c r="E1334" i="5"/>
  <c r="H1333" i="5"/>
  <c r="G1333" i="5"/>
  <c r="F1333" i="5"/>
  <c r="E1333" i="5"/>
  <c r="H1332" i="5"/>
  <c r="G1332" i="5"/>
  <c r="F1332" i="5"/>
  <c r="E1332" i="5"/>
  <c r="H1331" i="5"/>
  <c r="G1331" i="5"/>
  <c r="F1331" i="5"/>
  <c r="E1331" i="5"/>
  <c r="H1330" i="5"/>
  <c r="G1330" i="5"/>
  <c r="F1330" i="5"/>
  <c r="E1330" i="5"/>
  <c r="H1329" i="5"/>
  <c r="G1329" i="5"/>
  <c r="F1329" i="5"/>
  <c r="E1329" i="5"/>
  <c r="H1328" i="5"/>
  <c r="G1328" i="5"/>
  <c r="F1328" i="5"/>
  <c r="E1328" i="5"/>
  <c r="H1327" i="5"/>
  <c r="G1327" i="5"/>
  <c r="F1327" i="5"/>
  <c r="E1327" i="5"/>
  <c r="H1326" i="5"/>
  <c r="G1326" i="5"/>
  <c r="F1326" i="5"/>
  <c r="E1326" i="5"/>
  <c r="H1325" i="5"/>
  <c r="G1325" i="5"/>
  <c r="F1325" i="5"/>
  <c r="E1325" i="5"/>
  <c r="H1324" i="5"/>
  <c r="G1324" i="5"/>
  <c r="F1324" i="5"/>
  <c r="E1324" i="5"/>
  <c r="H1323" i="5"/>
  <c r="G1323" i="5"/>
  <c r="F1323" i="5"/>
  <c r="E1323" i="5"/>
  <c r="H1322" i="5"/>
  <c r="G1322" i="5"/>
  <c r="F1322" i="5"/>
  <c r="E1322" i="5"/>
  <c r="H1321" i="5"/>
  <c r="G1321" i="5"/>
  <c r="F1321" i="5"/>
  <c r="E1321" i="5"/>
  <c r="H1320" i="5"/>
  <c r="G1320" i="5"/>
  <c r="F1320" i="5"/>
  <c r="E1320" i="5"/>
  <c r="H1319" i="5"/>
  <c r="G1319" i="5"/>
  <c r="F1319" i="5"/>
  <c r="E1319" i="5"/>
  <c r="H1318" i="5"/>
  <c r="G1318" i="5"/>
  <c r="F1318" i="5"/>
  <c r="E1318" i="5"/>
  <c r="H1317" i="5"/>
  <c r="G1317" i="5"/>
  <c r="F1317" i="5"/>
  <c r="E1317" i="5"/>
  <c r="H1316" i="5"/>
  <c r="G1316" i="5"/>
  <c r="F1316" i="5"/>
  <c r="E1316" i="5"/>
  <c r="H1315" i="5"/>
  <c r="G1315" i="5"/>
  <c r="F1315" i="5"/>
  <c r="E1315" i="5"/>
  <c r="H1314" i="5"/>
  <c r="G1314" i="5"/>
  <c r="F1314" i="5"/>
  <c r="E1314" i="5"/>
  <c r="H1313" i="5"/>
  <c r="G1313" i="5"/>
  <c r="F1313" i="5"/>
  <c r="E1313" i="5"/>
  <c r="H1312" i="5"/>
  <c r="G1312" i="5"/>
  <c r="F1312" i="5"/>
  <c r="E1312" i="5"/>
  <c r="H1311" i="5"/>
  <c r="G1311" i="5"/>
  <c r="F1311" i="5"/>
  <c r="E1311" i="5"/>
  <c r="H1310" i="5"/>
  <c r="G1310" i="5"/>
  <c r="F1310" i="5"/>
  <c r="E1310" i="5"/>
  <c r="H1309" i="5"/>
  <c r="G1309" i="5"/>
  <c r="F1309" i="5"/>
  <c r="E1309" i="5"/>
  <c r="H1308" i="5"/>
  <c r="G1308" i="5"/>
  <c r="F1308" i="5"/>
  <c r="E1308" i="5"/>
  <c r="H1307" i="5"/>
  <c r="G1307" i="5"/>
  <c r="F1307" i="5"/>
  <c r="E1307" i="5"/>
  <c r="H1306" i="5"/>
  <c r="G1306" i="5"/>
  <c r="F1306" i="5"/>
  <c r="E1306" i="5"/>
  <c r="H1305" i="5"/>
  <c r="G1305" i="5"/>
  <c r="F1305" i="5"/>
  <c r="E1305" i="5"/>
  <c r="H1304" i="5"/>
  <c r="G1304" i="5"/>
  <c r="F1304" i="5"/>
  <c r="E1304" i="5"/>
  <c r="H1303" i="5"/>
  <c r="G1303" i="5"/>
  <c r="F1303" i="5"/>
  <c r="E1303" i="5"/>
  <c r="H1302" i="5"/>
  <c r="G1302" i="5"/>
  <c r="F1302" i="5"/>
  <c r="E1302" i="5"/>
  <c r="H1301" i="5"/>
  <c r="G1301" i="5"/>
  <c r="F1301" i="5"/>
  <c r="E1301" i="5"/>
  <c r="H1300" i="5"/>
  <c r="G1300" i="5"/>
  <c r="F1300" i="5"/>
  <c r="E1300" i="5"/>
  <c r="H1299" i="5"/>
  <c r="G1299" i="5"/>
  <c r="F1299" i="5"/>
  <c r="E1299" i="5"/>
  <c r="H1298" i="5"/>
  <c r="G1298" i="5"/>
  <c r="F1298" i="5"/>
  <c r="E1298" i="5"/>
  <c r="H1297" i="5"/>
  <c r="G1297" i="5"/>
  <c r="F1297" i="5"/>
  <c r="E1297" i="5"/>
  <c r="H1296" i="5"/>
  <c r="G1296" i="5"/>
  <c r="F1296" i="5"/>
  <c r="E1296" i="5"/>
  <c r="H1295" i="5"/>
  <c r="G1295" i="5"/>
  <c r="F1295" i="5"/>
  <c r="E1295" i="5"/>
  <c r="H1294" i="5"/>
  <c r="G1294" i="5"/>
  <c r="F1294" i="5"/>
  <c r="E1294" i="5"/>
  <c r="H1293" i="5"/>
  <c r="G1293" i="5"/>
  <c r="F1293" i="5"/>
  <c r="E1293" i="5"/>
  <c r="H1292" i="5"/>
  <c r="G1292" i="5"/>
  <c r="F1292" i="5"/>
  <c r="E1292" i="5"/>
  <c r="H1291" i="5"/>
  <c r="G1291" i="5"/>
  <c r="F1291" i="5"/>
  <c r="E1291" i="5"/>
  <c r="H1290" i="5"/>
  <c r="G1290" i="5"/>
  <c r="F1290" i="5"/>
  <c r="E1290" i="5"/>
  <c r="H1289" i="5"/>
  <c r="G1289" i="5"/>
  <c r="F1289" i="5"/>
  <c r="E1289" i="5"/>
  <c r="H1288" i="5"/>
  <c r="G1288" i="5"/>
  <c r="F1288" i="5"/>
  <c r="E1288" i="5"/>
  <c r="H1287" i="5"/>
  <c r="G1287" i="5"/>
  <c r="F1287" i="5"/>
  <c r="E1287" i="5"/>
  <c r="H1286" i="5"/>
  <c r="G1286" i="5"/>
  <c r="F1286" i="5"/>
  <c r="E1286" i="5"/>
  <c r="H1285" i="5"/>
  <c r="G1285" i="5"/>
  <c r="F1285" i="5"/>
  <c r="E1285" i="5"/>
  <c r="H1284" i="5"/>
  <c r="G1284" i="5"/>
  <c r="F1284" i="5"/>
  <c r="E1284" i="5"/>
  <c r="H1283" i="5"/>
  <c r="G1283" i="5"/>
  <c r="F1283" i="5"/>
  <c r="E1283" i="5"/>
  <c r="H1282" i="5"/>
  <c r="G1282" i="5"/>
  <c r="F1282" i="5"/>
  <c r="E1282" i="5"/>
  <c r="H1281" i="5"/>
  <c r="G1281" i="5"/>
  <c r="F1281" i="5"/>
  <c r="E1281" i="5"/>
  <c r="H1280" i="5"/>
  <c r="G1280" i="5"/>
  <c r="F1280" i="5"/>
  <c r="E1280" i="5"/>
  <c r="H1279" i="5"/>
  <c r="G1279" i="5"/>
  <c r="F1279" i="5"/>
  <c r="E1279" i="5"/>
  <c r="H1278" i="5"/>
  <c r="G1278" i="5"/>
  <c r="F1278" i="5"/>
  <c r="E1278" i="5"/>
  <c r="H1277" i="5"/>
  <c r="G1277" i="5"/>
  <c r="F1277" i="5"/>
  <c r="E1277" i="5"/>
  <c r="H1276" i="5"/>
  <c r="G1276" i="5"/>
  <c r="F1276" i="5"/>
  <c r="E1276" i="5"/>
  <c r="H1275" i="5"/>
  <c r="G1275" i="5"/>
  <c r="F1275" i="5"/>
  <c r="E1275" i="5"/>
  <c r="H1274" i="5"/>
  <c r="G1274" i="5"/>
  <c r="F1274" i="5"/>
  <c r="E1274" i="5"/>
  <c r="H1273" i="5"/>
  <c r="G1273" i="5"/>
  <c r="F1273" i="5"/>
  <c r="E1273" i="5"/>
  <c r="H1272" i="5"/>
  <c r="G1272" i="5"/>
  <c r="F1272" i="5"/>
  <c r="E1272" i="5"/>
  <c r="H1271" i="5"/>
  <c r="G1271" i="5"/>
  <c r="F1271" i="5"/>
  <c r="E1271" i="5"/>
  <c r="H1270" i="5"/>
  <c r="G1270" i="5"/>
  <c r="F1270" i="5"/>
  <c r="E1270" i="5"/>
  <c r="H1269" i="5"/>
  <c r="G1269" i="5"/>
  <c r="F1269" i="5"/>
  <c r="E1269" i="5"/>
  <c r="H1268" i="5"/>
  <c r="G1268" i="5"/>
  <c r="F1268" i="5"/>
  <c r="E1268" i="5"/>
  <c r="H1267" i="5"/>
  <c r="G1267" i="5"/>
  <c r="F1267" i="5"/>
  <c r="E1267" i="5"/>
  <c r="H1266" i="5"/>
  <c r="G1266" i="5"/>
  <c r="F1266" i="5"/>
  <c r="E1266" i="5"/>
  <c r="H1265" i="5"/>
  <c r="G1265" i="5"/>
  <c r="F1265" i="5"/>
  <c r="E1265" i="5"/>
  <c r="H1264" i="5"/>
  <c r="G1264" i="5"/>
  <c r="F1264" i="5"/>
  <c r="E1264" i="5"/>
  <c r="H1263" i="5"/>
  <c r="G1263" i="5"/>
  <c r="F1263" i="5"/>
  <c r="E1263" i="5"/>
  <c r="H1262" i="5"/>
  <c r="G1262" i="5"/>
  <c r="F1262" i="5"/>
  <c r="E1262" i="5"/>
  <c r="H1261" i="5"/>
  <c r="G1261" i="5"/>
  <c r="F1261" i="5"/>
  <c r="E1261" i="5"/>
  <c r="H1260" i="5"/>
  <c r="G1260" i="5"/>
  <c r="F1260" i="5"/>
  <c r="E1260" i="5"/>
  <c r="H1259" i="5"/>
  <c r="G1259" i="5"/>
  <c r="F1259" i="5"/>
  <c r="E1259" i="5"/>
  <c r="H1258" i="5"/>
  <c r="G1258" i="5"/>
  <c r="F1258" i="5"/>
  <c r="E1258" i="5"/>
  <c r="H1257" i="5"/>
  <c r="G1257" i="5"/>
  <c r="F1257" i="5"/>
  <c r="E1257" i="5"/>
  <c r="H1256" i="5"/>
  <c r="G1256" i="5"/>
  <c r="F1256" i="5"/>
  <c r="E1256" i="5"/>
  <c r="H1255" i="5"/>
  <c r="G1255" i="5"/>
  <c r="F1255" i="5"/>
  <c r="E1255" i="5"/>
  <c r="H1254" i="5"/>
  <c r="G1254" i="5"/>
  <c r="F1254" i="5"/>
  <c r="E1254" i="5"/>
  <c r="H1253" i="5"/>
  <c r="G1253" i="5"/>
  <c r="F1253" i="5"/>
  <c r="E1253" i="5"/>
  <c r="H1252" i="5"/>
  <c r="G1252" i="5"/>
  <c r="F1252" i="5"/>
  <c r="E1252" i="5"/>
  <c r="H1251" i="5"/>
  <c r="G1251" i="5"/>
  <c r="F1251" i="5"/>
  <c r="E1251" i="5"/>
  <c r="H1250" i="5"/>
  <c r="G1250" i="5"/>
  <c r="F1250" i="5"/>
  <c r="E1250" i="5"/>
  <c r="H1249" i="5"/>
  <c r="G1249" i="5"/>
  <c r="F1249" i="5"/>
  <c r="E1249" i="5"/>
  <c r="H1248" i="5"/>
  <c r="G1248" i="5"/>
  <c r="F1248" i="5"/>
  <c r="E1248" i="5"/>
  <c r="H1247" i="5"/>
  <c r="G1247" i="5"/>
  <c r="F1247" i="5"/>
  <c r="E1247" i="5"/>
  <c r="H1246" i="5"/>
  <c r="G1246" i="5"/>
  <c r="F1246" i="5"/>
  <c r="E1246" i="5"/>
  <c r="H1245" i="5"/>
  <c r="G1245" i="5"/>
  <c r="F1245" i="5"/>
  <c r="E1245" i="5"/>
  <c r="H1244" i="5"/>
  <c r="G1244" i="5"/>
  <c r="F1244" i="5"/>
  <c r="E1244" i="5"/>
  <c r="H1243" i="5"/>
  <c r="G1243" i="5"/>
  <c r="F1243" i="5"/>
  <c r="E1243" i="5"/>
  <c r="H1242" i="5"/>
  <c r="G1242" i="5"/>
  <c r="F1242" i="5"/>
  <c r="E1242" i="5"/>
  <c r="H1241" i="5"/>
  <c r="G1241" i="5"/>
  <c r="F1241" i="5"/>
  <c r="E1241" i="5"/>
  <c r="H1240" i="5"/>
  <c r="G1240" i="5"/>
  <c r="F1240" i="5"/>
  <c r="E1240" i="5"/>
  <c r="H1239" i="5"/>
  <c r="G1239" i="5"/>
  <c r="F1239" i="5"/>
  <c r="E1239" i="5"/>
  <c r="H1238" i="5"/>
  <c r="G1238" i="5"/>
  <c r="F1238" i="5"/>
  <c r="E1238" i="5"/>
  <c r="H1237" i="5"/>
  <c r="G1237" i="5"/>
  <c r="F1237" i="5"/>
  <c r="E1237" i="5"/>
  <c r="H1236" i="5"/>
  <c r="G1236" i="5"/>
  <c r="F1236" i="5"/>
  <c r="E1236" i="5"/>
  <c r="H1235" i="5"/>
  <c r="G1235" i="5"/>
  <c r="F1235" i="5"/>
  <c r="E1235" i="5"/>
  <c r="H1234" i="5"/>
  <c r="G1234" i="5"/>
  <c r="F1234" i="5"/>
  <c r="E1234" i="5"/>
  <c r="H1233" i="5"/>
  <c r="G1233" i="5"/>
  <c r="F1233" i="5"/>
  <c r="E1233" i="5"/>
  <c r="H1232" i="5"/>
  <c r="G1232" i="5"/>
  <c r="F1232" i="5"/>
  <c r="E1232" i="5"/>
  <c r="H1231" i="5"/>
  <c r="G1231" i="5"/>
  <c r="F1231" i="5"/>
  <c r="E1231" i="5"/>
  <c r="H1230" i="5"/>
  <c r="G1230" i="5"/>
  <c r="F1230" i="5"/>
  <c r="E1230" i="5"/>
  <c r="H1229" i="5"/>
  <c r="G1229" i="5"/>
  <c r="F1229" i="5"/>
  <c r="E1229" i="5"/>
  <c r="H1228" i="5"/>
  <c r="G1228" i="5"/>
  <c r="F1228" i="5"/>
  <c r="E1228" i="5"/>
  <c r="H1227" i="5"/>
  <c r="G1227" i="5"/>
  <c r="F1227" i="5"/>
  <c r="E1227" i="5"/>
  <c r="H1226" i="5"/>
  <c r="G1226" i="5"/>
  <c r="F1226" i="5"/>
  <c r="E1226" i="5"/>
  <c r="H1225" i="5"/>
  <c r="G1225" i="5"/>
  <c r="F1225" i="5"/>
  <c r="E1225" i="5"/>
  <c r="H1224" i="5"/>
  <c r="G1224" i="5"/>
  <c r="F1224" i="5"/>
  <c r="E1224" i="5"/>
  <c r="H1223" i="5"/>
  <c r="G1223" i="5"/>
  <c r="F1223" i="5"/>
  <c r="E1223" i="5"/>
  <c r="H1222" i="5"/>
  <c r="G1222" i="5"/>
  <c r="F1222" i="5"/>
  <c r="E1222" i="5"/>
  <c r="H1221" i="5"/>
  <c r="G1221" i="5"/>
  <c r="F1221" i="5"/>
  <c r="E1221" i="5"/>
  <c r="H1220" i="5"/>
  <c r="G1220" i="5"/>
  <c r="F1220" i="5"/>
  <c r="E1220" i="5"/>
  <c r="H1219" i="5"/>
  <c r="G1219" i="5"/>
  <c r="F1219" i="5"/>
  <c r="E1219" i="5"/>
  <c r="H1218" i="5"/>
  <c r="G1218" i="5"/>
  <c r="F1218" i="5"/>
  <c r="E1218" i="5"/>
  <c r="H1217" i="5"/>
  <c r="G1217" i="5"/>
  <c r="F1217" i="5"/>
  <c r="E1217" i="5"/>
  <c r="H1216" i="5"/>
  <c r="G1216" i="5"/>
  <c r="F1216" i="5"/>
  <c r="E1216" i="5"/>
  <c r="H1215" i="5"/>
  <c r="G1215" i="5"/>
  <c r="F1215" i="5"/>
  <c r="E1215" i="5"/>
  <c r="H1214" i="5"/>
  <c r="G1214" i="5"/>
  <c r="F1214" i="5"/>
  <c r="E1214" i="5"/>
  <c r="H1213" i="5"/>
  <c r="G1213" i="5"/>
  <c r="F1213" i="5"/>
  <c r="E1213" i="5"/>
  <c r="H1212" i="5"/>
  <c r="G1212" i="5"/>
  <c r="F1212" i="5"/>
  <c r="E1212" i="5"/>
  <c r="H1211" i="5"/>
  <c r="G1211" i="5"/>
  <c r="F1211" i="5"/>
  <c r="E1211" i="5"/>
  <c r="H1210" i="5"/>
  <c r="G1210" i="5"/>
  <c r="F1210" i="5"/>
  <c r="E1210" i="5"/>
  <c r="H1209" i="5"/>
  <c r="G1209" i="5"/>
  <c r="F1209" i="5"/>
  <c r="E1209" i="5"/>
  <c r="H1208" i="5"/>
  <c r="G1208" i="5"/>
  <c r="F1208" i="5"/>
  <c r="E1208" i="5"/>
  <c r="H1207" i="5"/>
  <c r="G1207" i="5"/>
  <c r="F1207" i="5"/>
  <c r="E1207" i="5"/>
  <c r="H1206" i="5"/>
  <c r="G1206" i="5"/>
  <c r="F1206" i="5"/>
  <c r="E1206" i="5"/>
  <c r="H1205" i="5"/>
  <c r="G1205" i="5"/>
  <c r="F1205" i="5"/>
  <c r="E1205" i="5"/>
  <c r="H1204" i="5"/>
  <c r="G1204" i="5"/>
  <c r="F1204" i="5"/>
  <c r="E1204" i="5"/>
  <c r="H1203" i="5"/>
  <c r="G1203" i="5"/>
  <c r="F1203" i="5"/>
  <c r="E1203" i="5"/>
  <c r="H1202" i="5"/>
  <c r="G1202" i="5"/>
  <c r="F1202" i="5"/>
  <c r="E1202" i="5"/>
  <c r="H1201" i="5"/>
  <c r="G1201" i="5"/>
  <c r="F1201" i="5"/>
  <c r="E1201" i="5"/>
  <c r="H1200" i="5"/>
  <c r="G1200" i="5"/>
  <c r="F1200" i="5"/>
  <c r="E1200" i="5"/>
  <c r="H1199" i="5"/>
  <c r="G1199" i="5"/>
  <c r="F1199" i="5"/>
  <c r="E1199" i="5"/>
  <c r="H1198" i="5"/>
  <c r="G1198" i="5"/>
  <c r="F1198" i="5"/>
  <c r="E1198" i="5"/>
  <c r="H1197" i="5"/>
  <c r="G1197" i="5"/>
  <c r="F1197" i="5"/>
  <c r="E1197" i="5"/>
  <c r="H1196" i="5"/>
  <c r="G1196" i="5"/>
  <c r="F1196" i="5"/>
  <c r="E1196" i="5"/>
  <c r="H1195" i="5"/>
  <c r="G1195" i="5"/>
  <c r="F1195" i="5"/>
  <c r="E1195" i="5"/>
  <c r="H1194" i="5"/>
  <c r="G1194" i="5"/>
  <c r="F1194" i="5"/>
  <c r="E1194" i="5"/>
  <c r="H1193" i="5"/>
  <c r="G1193" i="5"/>
  <c r="F1193" i="5"/>
  <c r="E1193" i="5"/>
  <c r="H1192" i="5"/>
  <c r="G1192" i="5"/>
  <c r="F1192" i="5"/>
  <c r="E1192" i="5"/>
  <c r="H1191" i="5"/>
  <c r="G1191" i="5"/>
  <c r="F1191" i="5"/>
  <c r="E1191" i="5"/>
  <c r="H1190" i="5"/>
  <c r="G1190" i="5"/>
  <c r="F1190" i="5"/>
  <c r="E1190" i="5"/>
  <c r="H1189" i="5"/>
  <c r="G1189" i="5"/>
  <c r="F1189" i="5"/>
  <c r="E1189" i="5"/>
  <c r="H1188" i="5"/>
  <c r="G1188" i="5"/>
  <c r="F1188" i="5"/>
  <c r="E1188" i="5"/>
  <c r="H1187" i="5"/>
  <c r="G1187" i="5"/>
  <c r="F1187" i="5"/>
  <c r="E1187" i="5"/>
  <c r="H1186" i="5"/>
  <c r="G1186" i="5"/>
  <c r="F1186" i="5"/>
  <c r="E1186" i="5"/>
  <c r="H1185" i="5"/>
  <c r="G1185" i="5"/>
  <c r="F1185" i="5"/>
  <c r="E1185" i="5"/>
  <c r="H1184" i="5"/>
  <c r="G1184" i="5"/>
  <c r="F1184" i="5"/>
  <c r="E1184" i="5"/>
  <c r="H1183" i="5"/>
  <c r="G1183" i="5"/>
  <c r="F1183" i="5"/>
  <c r="E1183" i="5"/>
  <c r="H1182" i="5"/>
  <c r="G1182" i="5"/>
  <c r="F1182" i="5"/>
  <c r="E1182" i="5"/>
  <c r="H1181" i="5"/>
  <c r="G1181" i="5"/>
  <c r="F1181" i="5"/>
  <c r="E1181" i="5"/>
  <c r="H1180" i="5"/>
  <c r="G1180" i="5"/>
  <c r="F1180" i="5"/>
  <c r="E1180" i="5"/>
  <c r="H1179" i="5"/>
  <c r="G1179" i="5"/>
  <c r="F1179" i="5"/>
  <c r="E1179" i="5"/>
  <c r="H1178" i="5"/>
  <c r="G1178" i="5"/>
  <c r="F1178" i="5"/>
  <c r="E1178" i="5"/>
  <c r="H1177" i="5"/>
  <c r="G1177" i="5"/>
  <c r="F1177" i="5"/>
  <c r="E1177" i="5"/>
  <c r="H1176" i="5"/>
  <c r="G1176" i="5"/>
  <c r="F1176" i="5"/>
  <c r="E1176" i="5"/>
  <c r="H1175" i="5"/>
  <c r="G1175" i="5"/>
  <c r="F1175" i="5"/>
  <c r="E1175" i="5"/>
  <c r="H1174" i="5"/>
  <c r="G1174" i="5"/>
  <c r="F1174" i="5"/>
  <c r="E1174" i="5"/>
  <c r="H1173" i="5"/>
  <c r="G1173" i="5"/>
  <c r="F1173" i="5"/>
  <c r="E1173" i="5"/>
  <c r="H1172" i="5"/>
  <c r="G1172" i="5"/>
  <c r="F1172" i="5"/>
  <c r="E1172" i="5"/>
  <c r="H1171" i="5"/>
  <c r="G1171" i="5"/>
  <c r="F1171" i="5"/>
  <c r="E1171" i="5"/>
  <c r="H1170" i="5"/>
  <c r="G1170" i="5"/>
  <c r="F1170" i="5"/>
  <c r="E1170" i="5"/>
  <c r="H1169" i="5"/>
  <c r="G1169" i="5"/>
  <c r="F1169" i="5"/>
  <c r="E1169" i="5"/>
  <c r="H1168" i="5"/>
  <c r="G1168" i="5"/>
  <c r="F1168" i="5"/>
  <c r="E1168" i="5"/>
  <c r="H1167" i="5"/>
  <c r="G1167" i="5"/>
  <c r="F1167" i="5"/>
  <c r="E1167" i="5"/>
  <c r="H1166" i="5"/>
  <c r="G1166" i="5"/>
  <c r="F1166" i="5"/>
  <c r="E1166" i="5"/>
  <c r="H1165" i="5"/>
  <c r="G1165" i="5"/>
  <c r="F1165" i="5"/>
  <c r="E1165" i="5"/>
  <c r="H1164" i="5"/>
  <c r="G1164" i="5"/>
  <c r="F1164" i="5"/>
  <c r="E1164" i="5"/>
  <c r="H1163" i="5"/>
  <c r="G1163" i="5"/>
  <c r="F1163" i="5"/>
  <c r="E1163" i="5"/>
  <c r="H1162" i="5"/>
  <c r="G1162" i="5"/>
  <c r="F1162" i="5"/>
  <c r="E1162" i="5"/>
  <c r="H1161" i="5"/>
  <c r="G1161" i="5"/>
  <c r="F1161" i="5"/>
  <c r="E1161" i="5"/>
  <c r="H1160" i="5"/>
  <c r="G1160" i="5"/>
  <c r="F1160" i="5"/>
  <c r="E1160" i="5"/>
  <c r="H1159" i="5"/>
  <c r="G1159" i="5"/>
  <c r="F1159" i="5"/>
  <c r="E1159" i="5"/>
  <c r="H1158" i="5"/>
  <c r="G1158" i="5"/>
  <c r="F1158" i="5"/>
  <c r="E1158" i="5"/>
  <c r="H1157" i="5"/>
  <c r="G1157" i="5"/>
  <c r="F1157" i="5"/>
  <c r="E1157" i="5"/>
  <c r="H1156" i="5"/>
  <c r="G1156" i="5"/>
  <c r="F1156" i="5"/>
  <c r="E1156" i="5"/>
  <c r="H1155" i="5"/>
  <c r="G1155" i="5"/>
  <c r="F1155" i="5"/>
  <c r="E1155" i="5"/>
  <c r="H1154" i="5"/>
  <c r="G1154" i="5"/>
  <c r="F1154" i="5"/>
  <c r="E1154" i="5"/>
  <c r="H1153" i="5"/>
  <c r="G1153" i="5"/>
  <c r="F1153" i="5"/>
  <c r="E1153" i="5"/>
  <c r="H1152" i="5"/>
  <c r="G1152" i="5"/>
  <c r="F1152" i="5"/>
  <c r="E1152" i="5"/>
  <c r="H1151" i="5"/>
  <c r="G1151" i="5"/>
  <c r="F1151" i="5"/>
  <c r="E1151" i="5"/>
  <c r="H1150" i="5"/>
  <c r="G1150" i="5"/>
  <c r="F1150" i="5"/>
  <c r="E1150" i="5"/>
  <c r="H1149" i="5"/>
  <c r="G1149" i="5"/>
  <c r="F1149" i="5"/>
  <c r="E1149" i="5"/>
  <c r="H1148" i="5"/>
  <c r="G1148" i="5"/>
  <c r="F1148" i="5"/>
  <c r="E1148" i="5"/>
  <c r="H1147" i="5"/>
  <c r="G1147" i="5"/>
  <c r="F1147" i="5"/>
  <c r="E1147" i="5"/>
  <c r="H1146" i="5"/>
  <c r="G1146" i="5"/>
  <c r="F1146" i="5"/>
  <c r="E1146" i="5"/>
  <c r="H1145" i="5"/>
  <c r="G1145" i="5"/>
  <c r="F1145" i="5"/>
  <c r="E1145" i="5"/>
  <c r="H1144" i="5"/>
  <c r="G1144" i="5"/>
  <c r="F1144" i="5"/>
  <c r="E1144" i="5"/>
  <c r="H1143" i="5"/>
  <c r="G1143" i="5"/>
  <c r="F1143" i="5"/>
  <c r="E1143" i="5"/>
  <c r="H1142" i="5"/>
  <c r="G1142" i="5"/>
  <c r="F1142" i="5"/>
  <c r="E1142" i="5"/>
  <c r="H1141" i="5"/>
  <c r="G1141" i="5"/>
  <c r="F1141" i="5"/>
  <c r="E1141" i="5"/>
  <c r="H1140" i="5"/>
  <c r="G1140" i="5"/>
  <c r="F1140" i="5"/>
  <c r="E1140" i="5"/>
  <c r="H1139" i="5"/>
  <c r="G1139" i="5"/>
  <c r="F1139" i="5"/>
  <c r="E1139" i="5"/>
  <c r="H1138" i="5"/>
  <c r="G1138" i="5"/>
  <c r="F1138" i="5"/>
  <c r="E1138" i="5"/>
  <c r="H1137" i="5"/>
  <c r="G1137" i="5"/>
  <c r="F1137" i="5"/>
  <c r="E1137" i="5"/>
  <c r="H1136" i="5"/>
  <c r="G1136" i="5"/>
  <c r="F1136" i="5"/>
  <c r="E1136" i="5"/>
  <c r="H1135" i="5"/>
  <c r="G1135" i="5"/>
  <c r="F1135" i="5"/>
  <c r="E1135" i="5"/>
  <c r="H1134" i="5"/>
  <c r="G1134" i="5"/>
  <c r="F1134" i="5"/>
  <c r="E1134" i="5"/>
  <c r="H1133" i="5"/>
  <c r="G1133" i="5"/>
  <c r="F1133" i="5"/>
  <c r="E1133" i="5"/>
  <c r="H1132" i="5"/>
  <c r="G1132" i="5"/>
  <c r="F1132" i="5"/>
  <c r="E1132" i="5"/>
  <c r="H1131" i="5"/>
  <c r="G1131" i="5"/>
  <c r="F1131" i="5"/>
  <c r="E1131" i="5"/>
  <c r="H1130" i="5"/>
  <c r="G1130" i="5"/>
  <c r="F1130" i="5"/>
  <c r="E1130" i="5"/>
  <c r="H1129" i="5"/>
  <c r="G1129" i="5"/>
  <c r="F1129" i="5"/>
  <c r="E1129" i="5"/>
  <c r="H1128" i="5"/>
  <c r="G1128" i="5"/>
  <c r="F1128" i="5"/>
  <c r="E1128" i="5"/>
  <c r="H1127" i="5"/>
  <c r="G1127" i="5"/>
  <c r="F1127" i="5"/>
  <c r="E1127" i="5"/>
  <c r="H1126" i="5"/>
  <c r="G1126" i="5"/>
  <c r="F1126" i="5"/>
  <c r="E1126" i="5"/>
  <c r="H1125" i="5"/>
  <c r="G1125" i="5"/>
  <c r="F1125" i="5"/>
  <c r="E1125" i="5"/>
  <c r="H1124" i="5"/>
  <c r="G1124" i="5"/>
  <c r="F1124" i="5"/>
  <c r="E1124" i="5"/>
  <c r="H1123" i="5"/>
  <c r="G1123" i="5"/>
  <c r="F1123" i="5"/>
  <c r="E1123" i="5"/>
  <c r="H1122" i="5"/>
  <c r="G1122" i="5"/>
  <c r="F1122" i="5"/>
  <c r="E1122" i="5"/>
  <c r="H1121" i="5"/>
  <c r="G1121" i="5"/>
  <c r="F1121" i="5"/>
  <c r="E1121" i="5"/>
  <c r="H1120" i="5"/>
  <c r="G1120" i="5"/>
  <c r="F1120" i="5"/>
  <c r="E1120" i="5"/>
  <c r="H1119" i="5"/>
  <c r="G1119" i="5"/>
  <c r="F1119" i="5"/>
  <c r="E1119" i="5"/>
  <c r="H1118" i="5"/>
  <c r="G1118" i="5"/>
  <c r="F1118" i="5"/>
  <c r="E1118" i="5"/>
  <c r="H1117" i="5"/>
  <c r="G1117" i="5"/>
  <c r="F1117" i="5"/>
  <c r="E1117" i="5"/>
  <c r="H1116" i="5"/>
  <c r="G1116" i="5"/>
  <c r="F1116" i="5"/>
  <c r="E1116" i="5"/>
  <c r="H1115" i="5"/>
  <c r="G1115" i="5"/>
  <c r="F1115" i="5"/>
  <c r="E1115" i="5"/>
  <c r="H1114" i="5"/>
  <c r="G1114" i="5"/>
  <c r="F1114" i="5"/>
  <c r="E1114" i="5"/>
  <c r="H1113" i="5"/>
  <c r="G1113" i="5"/>
  <c r="F1113" i="5"/>
  <c r="E1113" i="5"/>
  <c r="H1112" i="5"/>
  <c r="G1112" i="5"/>
  <c r="F1112" i="5"/>
  <c r="E1112" i="5"/>
  <c r="H1111" i="5"/>
  <c r="G1111" i="5"/>
  <c r="F1111" i="5"/>
  <c r="E1111" i="5"/>
  <c r="H1110" i="5"/>
  <c r="G1110" i="5"/>
  <c r="F1110" i="5"/>
  <c r="E1110" i="5"/>
  <c r="H1109" i="5"/>
  <c r="G1109" i="5"/>
  <c r="F1109" i="5"/>
  <c r="E1109" i="5"/>
  <c r="H1108" i="5"/>
  <c r="G1108" i="5"/>
  <c r="F1108" i="5"/>
  <c r="E1108" i="5"/>
  <c r="H1107" i="5"/>
  <c r="G1107" i="5"/>
  <c r="F1107" i="5"/>
  <c r="E1107" i="5"/>
  <c r="H1106" i="5"/>
  <c r="G1106" i="5"/>
  <c r="F1106" i="5"/>
  <c r="E1106" i="5"/>
  <c r="H1105" i="5"/>
  <c r="G1105" i="5"/>
  <c r="F1105" i="5"/>
  <c r="E1105" i="5"/>
  <c r="H1104" i="5"/>
  <c r="G1104" i="5"/>
  <c r="F1104" i="5"/>
  <c r="E1104" i="5"/>
  <c r="H1103" i="5"/>
  <c r="G1103" i="5"/>
  <c r="F1103" i="5"/>
  <c r="E1103" i="5"/>
  <c r="H1102" i="5"/>
  <c r="G1102" i="5"/>
  <c r="F1102" i="5"/>
  <c r="E1102" i="5"/>
  <c r="H1101" i="5"/>
  <c r="G1101" i="5"/>
  <c r="F1101" i="5"/>
  <c r="E1101" i="5"/>
  <c r="H1100" i="5"/>
  <c r="G1100" i="5"/>
  <c r="F1100" i="5"/>
  <c r="E1100" i="5"/>
  <c r="H1099" i="5"/>
  <c r="G1099" i="5"/>
  <c r="F1099" i="5"/>
  <c r="E1099" i="5"/>
  <c r="H1098" i="5"/>
  <c r="G1098" i="5"/>
  <c r="F1098" i="5"/>
  <c r="E1098" i="5"/>
  <c r="H1097" i="5"/>
  <c r="G1097" i="5"/>
  <c r="F1097" i="5"/>
  <c r="E1097" i="5"/>
  <c r="H1096" i="5"/>
  <c r="G1096" i="5"/>
  <c r="F1096" i="5"/>
  <c r="E1096" i="5"/>
  <c r="H1095" i="5"/>
  <c r="G1095" i="5"/>
  <c r="F1095" i="5"/>
  <c r="E1095" i="5"/>
  <c r="H1094" i="5"/>
  <c r="G1094" i="5"/>
  <c r="F1094" i="5"/>
  <c r="E1094" i="5"/>
  <c r="H1093" i="5"/>
  <c r="G1093" i="5"/>
  <c r="F1093" i="5"/>
  <c r="E1093" i="5"/>
  <c r="H1092" i="5"/>
  <c r="G1092" i="5"/>
  <c r="F1092" i="5"/>
  <c r="E1092" i="5"/>
  <c r="H1091" i="5"/>
  <c r="G1091" i="5"/>
  <c r="F1091" i="5"/>
  <c r="E1091" i="5"/>
  <c r="H1090" i="5"/>
  <c r="G1090" i="5"/>
  <c r="F1090" i="5"/>
  <c r="E1090" i="5"/>
  <c r="H1089" i="5"/>
  <c r="G1089" i="5"/>
  <c r="F1089" i="5"/>
  <c r="E1089" i="5"/>
  <c r="H1088" i="5"/>
  <c r="G1088" i="5"/>
  <c r="F1088" i="5"/>
  <c r="E1088" i="5"/>
  <c r="H1087" i="5"/>
  <c r="G1087" i="5"/>
  <c r="F1087" i="5"/>
  <c r="E1087" i="5"/>
  <c r="H1086" i="5"/>
  <c r="G1086" i="5"/>
  <c r="F1086" i="5"/>
  <c r="E1086" i="5"/>
  <c r="H1085" i="5"/>
  <c r="G1085" i="5"/>
  <c r="F1085" i="5"/>
  <c r="E1085" i="5"/>
  <c r="H1084" i="5"/>
  <c r="G1084" i="5"/>
  <c r="F1084" i="5"/>
  <c r="E1084" i="5"/>
  <c r="H1083" i="5"/>
  <c r="G1083" i="5"/>
  <c r="F1083" i="5"/>
  <c r="E1083" i="5"/>
  <c r="H1082" i="5"/>
  <c r="G1082" i="5"/>
  <c r="F1082" i="5"/>
  <c r="E1082" i="5"/>
  <c r="H1081" i="5"/>
  <c r="G1081" i="5"/>
  <c r="F1081" i="5"/>
  <c r="E1081" i="5"/>
  <c r="H1080" i="5"/>
  <c r="G1080" i="5"/>
  <c r="F1080" i="5"/>
  <c r="E1080" i="5"/>
  <c r="H1079" i="5"/>
  <c r="G1079" i="5"/>
  <c r="F1079" i="5"/>
  <c r="E1079" i="5"/>
  <c r="H1078" i="5"/>
  <c r="G1078" i="5"/>
  <c r="F1078" i="5"/>
  <c r="E1078" i="5"/>
  <c r="H1077" i="5"/>
  <c r="G1077" i="5"/>
  <c r="F1077" i="5"/>
  <c r="E1077" i="5"/>
  <c r="H1076" i="5"/>
  <c r="G1076" i="5"/>
  <c r="F1076" i="5"/>
  <c r="E1076" i="5"/>
  <c r="H1075" i="5"/>
  <c r="G1075" i="5"/>
  <c r="F1075" i="5"/>
  <c r="E1075" i="5"/>
  <c r="H1074" i="5"/>
  <c r="G1074" i="5"/>
  <c r="F1074" i="5"/>
  <c r="E1074" i="5"/>
  <c r="H1073" i="5"/>
  <c r="G1073" i="5"/>
  <c r="F1073" i="5"/>
  <c r="E1073" i="5"/>
  <c r="H1072" i="5"/>
  <c r="G1072" i="5"/>
  <c r="F1072" i="5"/>
  <c r="E1072" i="5"/>
  <c r="H1071" i="5"/>
  <c r="G1071" i="5"/>
  <c r="F1071" i="5"/>
  <c r="E1071" i="5"/>
  <c r="H1070" i="5"/>
  <c r="G1070" i="5"/>
  <c r="F1070" i="5"/>
  <c r="E1070" i="5"/>
  <c r="H1069" i="5"/>
  <c r="G1069" i="5"/>
  <c r="F1069" i="5"/>
  <c r="E1069" i="5"/>
  <c r="H1068" i="5"/>
  <c r="G1068" i="5"/>
  <c r="F1068" i="5"/>
  <c r="E1068" i="5"/>
  <c r="H1067" i="5"/>
  <c r="G1067" i="5"/>
  <c r="F1067" i="5"/>
  <c r="E1067" i="5"/>
  <c r="H1066" i="5"/>
  <c r="G1066" i="5"/>
  <c r="F1066" i="5"/>
  <c r="E1066" i="5"/>
  <c r="H1065" i="5"/>
  <c r="G1065" i="5"/>
  <c r="F1065" i="5"/>
  <c r="E1065" i="5"/>
  <c r="H1064" i="5"/>
  <c r="G1064" i="5"/>
  <c r="F1064" i="5"/>
  <c r="E1064" i="5"/>
  <c r="H1063" i="5"/>
  <c r="G1063" i="5"/>
  <c r="F1063" i="5"/>
  <c r="E1063" i="5"/>
  <c r="H1062" i="5"/>
  <c r="G1062" i="5"/>
  <c r="F1062" i="5"/>
  <c r="E1062" i="5"/>
  <c r="H1061" i="5"/>
  <c r="G1061" i="5"/>
  <c r="F1061" i="5"/>
  <c r="E1061" i="5"/>
  <c r="H1060" i="5"/>
  <c r="G1060" i="5"/>
  <c r="F1060" i="5"/>
  <c r="E1060" i="5"/>
  <c r="H1059" i="5"/>
  <c r="G1059" i="5"/>
  <c r="F1059" i="5"/>
  <c r="E1059" i="5"/>
  <c r="H1058" i="5"/>
  <c r="G1058" i="5"/>
  <c r="F1058" i="5"/>
  <c r="E1058" i="5"/>
  <c r="H1057" i="5"/>
  <c r="G1057" i="5"/>
  <c r="F1057" i="5"/>
  <c r="E1057" i="5"/>
  <c r="H1056" i="5"/>
  <c r="G1056" i="5"/>
  <c r="F1056" i="5"/>
  <c r="E1056" i="5"/>
  <c r="H1055" i="5"/>
  <c r="G1055" i="5"/>
  <c r="F1055" i="5"/>
  <c r="E1055" i="5"/>
  <c r="H1054" i="5"/>
  <c r="G1054" i="5"/>
  <c r="F1054" i="5"/>
  <c r="E1054" i="5"/>
  <c r="H1053" i="5"/>
  <c r="G1053" i="5"/>
  <c r="F1053" i="5"/>
  <c r="E1053" i="5"/>
  <c r="H1052" i="5"/>
  <c r="G1052" i="5"/>
  <c r="F1052" i="5"/>
  <c r="E1052" i="5"/>
  <c r="H1051" i="5"/>
  <c r="G1051" i="5"/>
  <c r="F1051" i="5"/>
  <c r="E1051" i="5"/>
  <c r="H1050" i="5"/>
  <c r="G1050" i="5"/>
  <c r="F1050" i="5"/>
  <c r="E1050" i="5"/>
  <c r="H1049" i="5"/>
  <c r="G1049" i="5"/>
  <c r="F1049" i="5"/>
  <c r="E1049" i="5"/>
  <c r="H1048" i="5"/>
  <c r="G1048" i="5"/>
  <c r="F1048" i="5"/>
  <c r="E1048" i="5"/>
  <c r="H1047" i="5"/>
  <c r="G1047" i="5"/>
  <c r="F1047" i="5"/>
  <c r="E1047" i="5"/>
  <c r="H1046" i="5"/>
  <c r="G1046" i="5"/>
  <c r="F1046" i="5"/>
  <c r="E1046" i="5"/>
  <c r="H1045" i="5"/>
  <c r="G1045" i="5"/>
  <c r="F1045" i="5"/>
  <c r="E1045" i="5"/>
  <c r="H1044" i="5"/>
  <c r="G1044" i="5"/>
  <c r="F1044" i="5"/>
  <c r="E1044" i="5"/>
  <c r="H1043" i="5"/>
  <c r="G1043" i="5"/>
  <c r="F1043" i="5"/>
  <c r="E1043" i="5"/>
  <c r="H1042" i="5"/>
  <c r="G1042" i="5"/>
  <c r="F1042" i="5"/>
  <c r="E1042" i="5"/>
  <c r="H1041" i="5"/>
  <c r="G1041" i="5"/>
  <c r="F1041" i="5"/>
  <c r="E1041" i="5"/>
  <c r="H1040" i="5"/>
  <c r="G1040" i="5"/>
  <c r="F1040" i="5"/>
  <c r="E1040" i="5"/>
  <c r="H1039" i="5"/>
  <c r="G1039" i="5"/>
  <c r="F1039" i="5"/>
  <c r="E1039" i="5"/>
  <c r="H1038" i="5"/>
  <c r="G1038" i="5"/>
  <c r="F1038" i="5"/>
  <c r="E1038" i="5"/>
  <c r="H1037" i="5"/>
  <c r="G1037" i="5"/>
  <c r="F1037" i="5"/>
  <c r="E1037" i="5"/>
  <c r="H1036" i="5"/>
  <c r="G1036" i="5"/>
  <c r="F1036" i="5"/>
  <c r="E1036" i="5"/>
  <c r="H1035" i="5"/>
  <c r="G1035" i="5"/>
  <c r="F1035" i="5"/>
  <c r="E1035" i="5"/>
  <c r="H1034" i="5"/>
  <c r="G1034" i="5"/>
  <c r="F1034" i="5"/>
  <c r="E1034" i="5"/>
  <c r="H1033" i="5"/>
  <c r="G1033" i="5"/>
  <c r="F1033" i="5"/>
  <c r="E1033" i="5"/>
  <c r="H1032" i="5"/>
  <c r="G1032" i="5"/>
  <c r="F1032" i="5"/>
  <c r="E1032" i="5"/>
  <c r="H1031" i="5"/>
  <c r="G1031" i="5"/>
  <c r="F1031" i="5"/>
  <c r="E1031" i="5"/>
  <c r="H1030" i="5"/>
  <c r="G1030" i="5"/>
  <c r="F1030" i="5"/>
  <c r="E1030" i="5"/>
  <c r="H1029" i="5"/>
  <c r="G1029" i="5"/>
  <c r="F1029" i="5"/>
  <c r="E1029" i="5"/>
  <c r="H1028" i="5"/>
  <c r="G1028" i="5"/>
  <c r="F1028" i="5"/>
  <c r="E1028" i="5"/>
  <c r="H1027" i="5"/>
  <c r="G1027" i="5"/>
  <c r="F1027" i="5"/>
  <c r="E1027" i="5"/>
  <c r="H1026" i="5"/>
  <c r="G1026" i="5"/>
  <c r="F1026" i="5"/>
  <c r="E1026" i="5"/>
  <c r="H1025" i="5"/>
  <c r="G1025" i="5"/>
  <c r="F1025" i="5"/>
  <c r="E1025" i="5"/>
  <c r="H1024" i="5"/>
  <c r="G1024" i="5"/>
  <c r="F1024" i="5"/>
  <c r="E1024" i="5"/>
  <c r="H1023" i="5"/>
  <c r="G1023" i="5"/>
  <c r="F1023" i="5"/>
  <c r="E1023" i="5"/>
  <c r="H1022" i="5"/>
  <c r="G1022" i="5"/>
  <c r="F1022" i="5"/>
  <c r="E1022" i="5"/>
  <c r="H1021" i="5"/>
  <c r="G1021" i="5"/>
  <c r="F1021" i="5"/>
  <c r="E1021" i="5"/>
  <c r="H1020" i="5"/>
  <c r="G1020" i="5"/>
  <c r="F1020" i="5"/>
  <c r="E1020" i="5"/>
  <c r="H1019" i="5"/>
  <c r="G1019" i="5"/>
  <c r="F1019" i="5"/>
  <c r="E1019" i="5"/>
  <c r="H1018" i="5"/>
  <c r="G1018" i="5"/>
  <c r="F1018" i="5"/>
  <c r="E1018" i="5"/>
  <c r="H1017" i="5"/>
  <c r="G1017" i="5"/>
  <c r="F1017" i="5"/>
  <c r="E1017" i="5"/>
  <c r="H1016" i="5"/>
  <c r="G1016" i="5"/>
  <c r="F1016" i="5"/>
  <c r="E1016" i="5"/>
  <c r="H1015" i="5"/>
  <c r="G1015" i="5"/>
  <c r="F1015" i="5"/>
  <c r="E1015" i="5"/>
  <c r="H1014" i="5"/>
  <c r="G1014" i="5"/>
  <c r="F1014" i="5"/>
  <c r="E1014" i="5"/>
  <c r="H1013" i="5"/>
  <c r="G1013" i="5"/>
  <c r="F1013" i="5"/>
  <c r="E1013" i="5"/>
  <c r="H1012" i="5"/>
  <c r="G1012" i="5"/>
  <c r="F1012" i="5"/>
  <c r="E1012" i="5"/>
  <c r="H1011" i="5"/>
  <c r="G1011" i="5"/>
  <c r="F1011" i="5"/>
  <c r="E1011" i="5"/>
  <c r="H1010" i="5"/>
  <c r="G1010" i="5"/>
  <c r="F1010" i="5"/>
  <c r="E1010" i="5"/>
  <c r="H1009" i="5"/>
  <c r="G1009" i="5"/>
  <c r="F1009" i="5"/>
  <c r="E1009" i="5"/>
  <c r="H1008" i="5"/>
  <c r="G1008" i="5"/>
  <c r="F1008" i="5"/>
  <c r="E1008" i="5"/>
  <c r="H1007" i="5"/>
  <c r="G1007" i="5"/>
  <c r="F1007" i="5"/>
  <c r="E1007" i="5"/>
  <c r="H1006" i="5"/>
  <c r="G1006" i="5"/>
  <c r="F1006" i="5"/>
  <c r="E1006" i="5"/>
  <c r="H1005" i="5"/>
  <c r="G1005" i="5"/>
  <c r="F1005" i="5"/>
  <c r="E1005" i="5"/>
  <c r="H1004" i="5"/>
  <c r="G1004" i="5"/>
  <c r="F1004" i="5"/>
  <c r="E1004" i="5"/>
  <c r="H1003" i="5"/>
  <c r="G1003" i="5"/>
  <c r="F1003" i="5"/>
  <c r="E1003" i="5"/>
  <c r="H1002" i="5"/>
  <c r="G1002" i="5"/>
  <c r="F1002" i="5"/>
  <c r="E1002" i="5"/>
  <c r="H1001" i="5"/>
  <c r="G1001" i="5"/>
  <c r="F1001" i="5"/>
  <c r="E1001" i="5"/>
  <c r="H1000" i="5"/>
  <c r="G1000" i="5"/>
  <c r="F1000" i="5"/>
  <c r="E1000" i="5"/>
  <c r="H999" i="5"/>
  <c r="G999" i="5"/>
  <c r="F999" i="5"/>
  <c r="E999" i="5"/>
  <c r="H998" i="5"/>
  <c r="G998" i="5"/>
  <c r="F998" i="5"/>
  <c r="E998" i="5"/>
  <c r="H997" i="5"/>
  <c r="G997" i="5"/>
  <c r="F997" i="5"/>
  <c r="E997" i="5"/>
  <c r="H996" i="5"/>
  <c r="G996" i="5"/>
  <c r="F996" i="5"/>
  <c r="E996" i="5"/>
  <c r="H995" i="5"/>
  <c r="G995" i="5"/>
  <c r="F995" i="5"/>
  <c r="E995" i="5"/>
  <c r="H994" i="5"/>
  <c r="G994" i="5"/>
  <c r="F994" i="5"/>
  <c r="E994" i="5"/>
  <c r="H993" i="5"/>
  <c r="G993" i="5"/>
  <c r="F993" i="5"/>
  <c r="E993" i="5"/>
  <c r="H992" i="5"/>
  <c r="G992" i="5"/>
  <c r="F992" i="5"/>
  <c r="E992" i="5"/>
  <c r="H991" i="5"/>
  <c r="G991" i="5"/>
  <c r="F991" i="5"/>
  <c r="E991" i="5"/>
  <c r="H990" i="5"/>
  <c r="G990" i="5"/>
  <c r="F990" i="5"/>
  <c r="E990" i="5"/>
  <c r="H989" i="5"/>
  <c r="G989" i="5"/>
  <c r="F989" i="5"/>
  <c r="E989" i="5"/>
  <c r="H988" i="5"/>
  <c r="G988" i="5"/>
  <c r="F988" i="5"/>
  <c r="E988" i="5"/>
  <c r="H987" i="5"/>
  <c r="G987" i="5"/>
  <c r="F987" i="5"/>
  <c r="E987" i="5"/>
  <c r="H986" i="5"/>
  <c r="G986" i="5"/>
  <c r="F986" i="5"/>
  <c r="E986" i="5"/>
  <c r="H985" i="5"/>
  <c r="G985" i="5"/>
  <c r="F985" i="5"/>
  <c r="E985" i="5"/>
  <c r="H984" i="5"/>
  <c r="G984" i="5"/>
  <c r="F984" i="5"/>
  <c r="E984" i="5"/>
  <c r="H983" i="5"/>
  <c r="G983" i="5"/>
  <c r="F983" i="5"/>
  <c r="E983" i="5"/>
  <c r="H982" i="5"/>
  <c r="G982" i="5"/>
  <c r="F982" i="5"/>
  <c r="E982" i="5"/>
  <c r="H981" i="5"/>
  <c r="G981" i="5"/>
  <c r="F981" i="5"/>
  <c r="E981" i="5"/>
  <c r="H980" i="5"/>
  <c r="G980" i="5"/>
  <c r="F980" i="5"/>
  <c r="E980" i="5"/>
  <c r="H979" i="5"/>
  <c r="G979" i="5"/>
  <c r="F979" i="5"/>
  <c r="E979" i="5"/>
  <c r="H978" i="5"/>
  <c r="G978" i="5"/>
  <c r="F978" i="5"/>
  <c r="E978" i="5"/>
  <c r="H977" i="5"/>
  <c r="G977" i="5"/>
  <c r="F977" i="5"/>
  <c r="E977" i="5"/>
  <c r="H976" i="5"/>
  <c r="G976" i="5"/>
  <c r="F976" i="5"/>
  <c r="E976" i="5"/>
  <c r="H975" i="5"/>
  <c r="G975" i="5"/>
  <c r="F975" i="5"/>
  <c r="E975" i="5"/>
  <c r="H974" i="5"/>
  <c r="G974" i="5"/>
  <c r="F974" i="5"/>
  <c r="E974" i="5"/>
  <c r="H973" i="5"/>
  <c r="G973" i="5"/>
  <c r="F973" i="5"/>
  <c r="E973" i="5"/>
  <c r="H972" i="5"/>
  <c r="G972" i="5"/>
  <c r="F972" i="5"/>
  <c r="E972" i="5"/>
  <c r="H971" i="5"/>
  <c r="G971" i="5"/>
  <c r="F971" i="5"/>
  <c r="E971" i="5"/>
  <c r="H970" i="5"/>
  <c r="G970" i="5"/>
  <c r="F970" i="5"/>
  <c r="E970" i="5"/>
  <c r="H969" i="5"/>
  <c r="G969" i="5"/>
  <c r="F969" i="5"/>
  <c r="E969" i="5"/>
  <c r="H968" i="5"/>
  <c r="G968" i="5"/>
  <c r="F968" i="5"/>
  <c r="E968" i="5"/>
  <c r="H967" i="5"/>
  <c r="G967" i="5"/>
  <c r="F967" i="5"/>
  <c r="E967" i="5"/>
  <c r="H966" i="5"/>
  <c r="G966" i="5"/>
  <c r="F966" i="5"/>
  <c r="E966" i="5"/>
  <c r="H965" i="5"/>
  <c r="G965" i="5"/>
  <c r="F965" i="5"/>
  <c r="E965" i="5"/>
  <c r="H964" i="5"/>
  <c r="G964" i="5"/>
  <c r="F964" i="5"/>
  <c r="E964" i="5"/>
  <c r="H963" i="5"/>
  <c r="G963" i="5"/>
  <c r="F963" i="5"/>
  <c r="E963" i="5"/>
  <c r="H962" i="5"/>
  <c r="G962" i="5"/>
  <c r="F962" i="5"/>
  <c r="E962" i="5"/>
  <c r="H961" i="5"/>
  <c r="G961" i="5"/>
  <c r="F961" i="5"/>
  <c r="E961" i="5"/>
  <c r="H960" i="5"/>
  <c r="G960" i="5"/>
  <c r="F960" i="5"/>
  <c r="E960" i="5"/>
  <c r="H959" i="5"/>
  <c r="G959" i="5"/>
  <c r="F959" i="5"/>
  <c r="E959" i="5"/>
  <c r="H958" i="5"/>
  <c r="G958" i="5"/>
  <c r="F958" i="5"/>
  <c r="E958" i="5"/>
  <c r="H957" i="5"/>
  <c r="G957" i="5"/>
  <c r="F957" i="5"/>
  <c r="E957" i="5"/>
  <c r="H956" i="5"/>
  <c r="G956" i="5"/>
  <c r="F956" i="5"/>
  <c r="E956" i="5"/>
  <c r="H955" i="5"/>
  <c r="G955" i="5"/>
  <c r="F955" i="5"/>
  <c r="E955" i="5"/>
  <c r="H954" i="5"/>
  <c r="G954" i="5"/>
  <c r="F954" i="5"/>
  <c r="E954" i="5"/>
  <c r="H953" i="5"/>
  <c r="G953" i="5"/>
  <c r="F953" i="5"/>
  <c r="E953" i="5"/>
  <c r="H952" i="5"/>
  <c r="G952" i="5"/>
  <c r="F952" i="5"/>
  <c r="E952" i="5"/>
  <c r="H951" i="5"/>
  <c r="G951" i="5"/>
  <c r="F951" i="5"/>
  <c r="E951" i="5"/>
  <c r="H950" i="5"/>
  <c r="G950" i="5"/>
  <c r="F950" i="5"/>
  <c r="E950" i="5"/>
  <c r="H949" i="5"/>
  <c r="G949" i="5"/>
  <c r="F949" i="5"/>
  <c r="E949" i="5"/>
  <c r="H948" i="5"/>
  <c r="G948" i="5"/>
  <c r="F948" i="5"/>
  <c r="E948" i="5"/>
  <c r="H947" i="5"/>
  <c r="G947" i="5"/>
  <c r="F947" i="5"/>
  <c r="E947" i="5"/>
  <c r="H946" i="5"/>
  <c r="G946" i="5"/>
  <c r="F946" i="5"/>
  <c r="E946" i="5"/>
  <c r="H945" i="5"/>
  <c r="G945" i="5"/>
  <c r="F945" i="5"/>
  <c r="E945" i="5"/>
  <c r="H944" i="5"/>
  <c r="G944" i="5"/>
  <c r="F944" i="5"/>
  <c r="E944" i="5"/>
  <c r="H943" i="5"/>
  <c r="G943" i="5"/>
  <c r="F943" i="5"/>
  <c r="E943" i="5"/>
  <c r="H942" i="5"/>
  <c r="G942" i="5"/>
  <c r="F942" i="5"/>
  <c r="E942" i="5"/>
  <c r="H941" i="5"/>
  <c r="G941" i="5"/>
  <c r="F941" i="5"/>
  <c r="E941" i="5"/>
  <c r="H940" i="5"/>
  <c r="G940" i="5"/>
  <c r="F940" i="5"/>
  <c r="E940" i="5"/>
  <c r="H939" i="5"/>
  <c r="G939" i="5"/>
  <c r="F939" i="5"/>
  <c r="E939" i="5"/>
  <c r="H938" i="5"/>
  <c r="G938" i="5"/>
  <c r="F938" i="5"/>
  <c r="E938" i="5"/>
  <c r="H937" i="5"/>
  <c r="G937" i="5"/>
  <c r="F937" i="5"/>
  <c r="E937" i="5"/>
  <c r="H936" i="5"/>
  <c r="G936" i="5"/>
  <c r="F936" i="5"/>
  <c r="E936" i="5"/>
  <c r="H935" i="5"/>
  <c r="G935" i="5"/>
  <c r="F935" i="5"/>
  <c r="E935" i="5"/>
  <c r="H934" i="5"/>
  <c r="G934" i="5"/>
  <c r="F934" i="5"/>
  <c r="E934" i="5"/>
  <c r="H933" i="5"/>
  <c r="G933" i="5"/>
  <c r="F933" i="5"/>
  <c r="E933" i="5"/>
  <c r="H932" i="5"/>
  <c r="G932" i="5"/>
  <c r="F932" i="5"/>
  <c r="E932" i="5"/>
  <c r="H931" i="5"/>
  <c r="G931" i="5"/>
  <c r="F931" i="5"/>
  <c r="E931" i="5"/>
  <c r="H930" i="5"/>
  <c r="G930" i="5"/>
  <c r="F930" i="5"/>
  <c r="E930" i="5"/>
  <c r="H929" i="5"/>
  <c r="G929" i="5"/>
  <c r="F929" i="5"/>
  <c r="E929" i="5"/>
  <c r="H928" i="5"/>
  <c r="G928" i="5"/>
  <c r="F928" i="5"/>
  <c r="E928" i="5"/>
  <c r="H927" i="5"/>
  <c r="G927" i="5"/>
  <c r="F927" i="5"/>
  <c r="E927" i="5"/>
  <c r="H926" i="5"/>
  <c r="G926" i="5"/>
  <c r="F926" i="5"/>
  <c r="E926" i="5"/>
  <c r="H925" i="5"/>
  <c r="G925" i="5"/>
  <c r="F925" i="5"/>
  <c r="E925" i="5"/>
  <c r="H924" i="5"/>
  <c r="G924" i="5"/>
  <c r="F924" i="5"/>
  <c r="E924" i="5"/>
  <c r="H923" i="5"/>
  <c r="G923" i="5"/>
  <c r="F923" i="5"/>
  <c r="E923" i="5"/>
  <c r="H922" i="5"/>
  <c r="G922" i="5"/>
  <c r="F922" i="5"/>
  <c r="E922" i="5"/>
  <c r="H921" i="5"/>
  <c r="G921" i="5"/>
  <c r="F921" i="5"/>
  <c r="E921" i="5"/>
  <c r="H920" i="5"/>
  <c r="G920" i="5"/>
  <c r="F920" i="5"/>
  <c r="E920" i="5"/>
  <c r="H919" i="5"/>
  <c r="G919" i="5"/>
  <c r="F919" i="5"/>
  <c r="E919" i="5"/>
  <c r="H918" i="5"/>
  <c r="G918" i="5"/>
  <c r="F918" i="5"/>
  <c r="E918" i="5"/>
  <c r="H917" i="5"/>
  <c r="G917" i="5"/>
  <c r="F917" i="5"/>
  <c r="E917" i="5"/>
  <c r="H916" i="5"/>
  <c r="G916" i="5"/>
  <c r="F916" i="5"/>
  <c r="E916" i="5"/>
  <c r="H915" i="5"/>
  <c r="G915" i="5"/>
  <c r="F915" i="5"/>
  <c r="E915" i="5"/>
  <c r="H914" i="5"/>
  <c r="G914" i="5"/>
  <c r="F914" i="5"/>
  <c r="E914" i="5"/>
  <c r="H913" i="5"/>
  <c r="G913" i="5"/>
  <c r="F913" i="5"/>
  <c r="E913" i="5"/>
  <c r="H912" i="5"/>
  <c r="G912" i="5"/>
  <c r="F912" i="5"/>
  <c r="E912" i="5"/>
  <c r="H911" i="5"/>
  <c r="G911" i="5"/>
  <c r="F911" i="5"/>
  <c r="E911" i="5"/>
  <c r="H910" i="5"/>
  <c r="G910" i="5"/>
  <c r="F910" i="5"/>
  <c r="E910" i="5"/>
  <c r="H909" i="5"/>
  <c r="G909" i="5"/>
  <c r="F909" i="5"/>
  <c r="E909" i="5"/>
  <c r="H908" i="5"/>
  <c r="G908" i="5"/>
  <c r="F908" i="5"/>
  <c r="E908" i="5"/>
  <c r="H907" i="5"/>
  <c r="G907" i="5"/>
  <c r="F907" i="5"/>
  <c r="E907" i="5"/>
  <c r="H906" i="5"/>
  <c r="G906" i="5"/>
  <c r="F906" i="5"/>
  <c r="E906" i="5"/>
  <c r="H905" i="5"/>
  <c r="G905" i="5"/>
  <c r="F905" i="5"/>
  <c r="E905" i="5"/>
  <c r="H904" i="5"/>
  <c r="G904" i="5"/>
  <c r="F904" i="5"/>
  <c r="E904" i="5"/>
  <c r="H903" i="5"/>
  <c r="G903" i="5"/>
  <c r="F903" i="5"/>
  <c r="E903" i="5"/>
  <c r="H902" i="5"/>
  <c r="G902" i="5"/>
  <c r="F902" i="5"/>
  <c r="E902" i="5"/>
  <c r="H901" i="5"/>
  <c r="G901" i="5"/>
  <c r="F901" i="5"/>
  <c r="E901" i="5"/>
  <c r="H900" i="5"/>
  <c r="G900" i="5"/>
  <c r="F900" i="5"/>
  <c r="E900" i="5"/>
  <c r="H899" i="5"/>
  <c r="G899" i="5"/>
  <c r="F899" i="5"/>
  <c r="E899" i="5"/>
  <c r="H898" i="5"/>
  <c r="G898" i="5"/>
  <c r="F898" i="5"/>
  <c r="E898" i="5"/>
  <c r="H897" i="5"/>
  <c r="G897" i="5"/>
  <c r="F897" i="5"/>
  <c r="E897" i="5"/>
  <c r="H896" i="5"/>
  <c r="G896" i="5"/>
  <c r="F896" i="5"/>
  <c r="E896" i="5"/>
  <c r="H895" i="5"/>
  <c r="G895" i="5"/>
  <c r="F895" i="5"/>
  <c r="E895" i="5"/>
  <c r="H894" i="5"/>
  <c r="G894" i="5"/>
  <c r="F894" i="5"/>
  <c r="E894" i="5"/>
  <c r="H893" i="5"/>
  <c r="G893" i="5"/>
  <c r="F893" i="5"/>
  <c r="E893" i="5"/>
  <c r="H892" i="5"/>
  <c r="G892" i="5"/>
  <c r="F892" i="5"/>
  <c r="E892" i="5"/>
  <c r="H891" i="5"/>
  <c r="G891" i="5"/>
  <c r="F891" i="5"/>
  <c r="E891" i="5"/>
  <c r="H890" i="5"/>
  <c r="G890" i="5"/>
  <c r="F890" i="5"/>
  <c r="E890" i="5"/>
  <c r="H889" i="5"/>
  <c r="G889" i="5"/>
  <c r="F889" i="5"/>
  <c r="E889" i="5"/>
  <c r="H888" i="5"/>
  <c r="G888" i="5"/>
  <c r="F888" i="5"/>
  <c r="E888" i="5"/>
  <c r="H887" i="5"/>
  <c r="G887" i="5"/>
  <c r="F887" i="5"/>
  <c r="E887" i="5"/>
  <c r="H886" i="5"/>
  <c r="G886" i="5"/>
  <c r="F886" i="5"/>
  <c r="E886" i="5"/>
  <c r="H885" i="5"/>
  <c r="G885" i="5"/>
  <c r="F885" i="5"/>
  <c r="E885" i="5"/>
  <c r="H884" i="5"/>
  <c r="G884" i="5"/>
  <c r="F884" i="5"/>
  <c r="E884" i="5"/>
  <c r="H883" i="5"/>
  <c r="G883" i="5"/>
  <c r="F883" i="5"/>
  <c r="E883" i="5"/>
  <c r="H882" i="5"/>
  <c r="G882" i="5"/>
  <c r="F882" i="5"/>
  <c r="E882" i="5"/>
  <c r="H881" i="5"/>
  <c r="G881" i="5"/>
  <c r="F881" i="5"/>
  <c r="E881" i="5"/>
  <c r="H880" i="5"/>
  <c r="G880" i="5"/>
  <c r="F880" i="5"/>
  <c r="E880" i="5"/>
  <c r="H879" i="5"/>
  <c r="G879" i="5"/>
  <c r="F879" i="5"/>
  <c r="E879" i="5"/>
  <c r="H878" i="5"/>
  <c r="G878" i="5"/>
  <c r="F878" i="5"/>
  <c r="E878" i="5"/>
  <c r="H877" i="5"/>
  <c r="G877" i="5"/>
  <c r="F877" i="5"/>
  <c r="E877" i="5"/>
  <c r="H876" i="5"/>
  <c r="G876" i="5"/>
  <c r="F876" i="5"/>
  <c r="E876" i="5"/>
  <c r="H875" i="5"/>
  <c r="G875" i="5"/>
  <c r="F875" i="5"/>
  <c r="E875" i="5"/>
  <c r="H874" i="5"/>
  <c r="G874" i="5"/>
  <c r="F874" i="5"/>
  <c r="E874" i="5"/>
  <c r="H873" i="5"/>
  <c r="G873" i="5"/>
  <c r="F873" i="5"/>
  <c r="E873" i="5"/>
  <c r="H872" i="5"/>
  <c r="G872" i="5"/>
  <c r="F872" i="5"/>
  <c r="E872" i="5"/>
  <c r="H871" i="5"/>
  <c r="G871" i="5"/>
  <c r="F871" i="5"/>
  <c r="E871" i="5"/>
  <c r="H870" i="5"/>
  <c r="G870" i="5"/>
  <c r="F870" i="5"/>
  <c r="E870" i="5"/>
  <c r="H869" i="5"/>
  <c r="G869" i="5"/>
  <c r="F869" i="5"/>
  <c r="E869" i="5"/>
  <c r="H868" i="5"/>
  <c r="G868" i="5"/>
  <c r="F868" i="5"/>
  <c r="E868" i="5"/>
  <c r="H867" i="5"/>
  <c r="G867" i="5"/>
  <c r="F867" i="5"/>
  <c r="E867" i="5"/>
  <c r="H866" i="5"/>
  <c r="G866" i="5"/>
  <c r="F866" i="5"/>
  <c r="E866" i="5"/>
  <c r="H865" i="5"/>
  <c r="G865" i="5"/>
  <c r="F865" i="5"/>
  <c r="E865" i="5"/>
  <c r="H864" i="5"/>
  <c r="G864" i="5"/>
  <c r="F864" i="5"/>
  <c r="E864" i="5"/>
  <c r="H863" i="5"/>
  <c r="G863" i="5"/>
  <c r="F863" i="5"/>
  <c r="E863" i="5"/>
  <c r="H862" i="5"/>
  <c r="G862" i="5"/>
  <c r="F862" i="5"/>
  <c r="E862" i="5"/>
  <c r="H861" i="5"/>
  <c r="G861" i="5"/>
  <c r="F861" i="5"/>
  <c r="E861" i="5"/>
  <c r="H860" i="5"/>
  <c r="G860" i="5"/>
  <c r="F860" i="5"/>
  <c r="E860" i="5"/>
  <c r="H859" i="5"/>
  <c r="G859" i="5"/>
  <c r="F859" i="5"/>
  <c r="E859" i="5"/>
  <c r="H858" i="5"/>
  <c r="G858" i="5"/>
  <c r="F858" i="5"/>
  <c r="E858" i="5"/>
  <c r="H857" i="5"/>
  <c r="G857" i="5"/>
  <c r="F857" i="5"/>
  <c r="E857" i="5"/>
  <c r="H856" i="5"/>
  <c r="G856" i="5"/>
  <c r="F856" i="5"/>
  <c r="E856" i="5"/>
  <c r="H855" i="5"/>
  <c r="G855" i="5"/>
  <c r="F855" i="5"/>
  <c r="E855" i="5"/>
  <c r="H854" i="5"/>
  <c r="G854" i="5"/>
  <c r="F854" i="5"/>
  <c r="E854" i="5"/>
  <c r="H853" i="5"/>
  <c r="G853" i="5"/>
  <c r="F853" i="5"/>
  <c r="E853" i="5"/>
  <c r="H852" i="5"/>
  <c r="G852" i="5"/>
  <c r="F852" i="5"/>
  <c r="E852" i="5"/>
  <c r="H851" i="5"/>
  <c r="G851" i="5"/>
  <c r="F851" i="5"/>
  <c r="E851" i="5"/>
  <c r="H850" i="5"/>
  <c r="G850" i="5"/>
  <c r="F850" i="5"/>
  <c r="E850" i="5"/>
  <c r="H849" i="5"/>
  <c r="G849" i="5"/>
  <c r="F849" i="5"/>
  <c r="E849" i="5"/>
  <c r="H848" i="5"/>
  <c r="G848" i="5"/>
  <c r="F848" i="5"/>
  <c r="E848" i="5"/>
  <c r="H847" i="5"/>
  <c r="G847" i="5"/>
  <c r="F847" i="5"/>
  <c r="E847" i="5"/>
  <c r="H846" i="5"/>
  <c r="G846" i="5"/>
  <c r="F846" i="5"/>
  <c r="E846" i="5"/>
  <c r="H845" i="5"/>
  <c r="G845" i="5"/>
  <c r="F845" i="5"/>
  <c r="E845" i="5"/>
  <c r="H844" i="5"/>
  <c r="G844" i="5"/>
  <c r="F844" i="5"/>
  <c r="E844" i="5"/>
  <c r="H843" i="5"/>
  <c r="G843" i="5"/>
  <c r="F843" i="5"/>
  <c r="E843" i="5"/>
  <c r="H842" i="5"/>
  <c r="G842" i="5"/>
  <c r="F842" i="5"/>
  <c r="E842" i="5"/>
  <c r="H841" i="5"/>
  <c r="G841" i="5"/>
  <c r="F841" i="5"/>
  <c r="E841" i="5"/>
  <c r="H840" i="5"/>
  <c r="G840" i="5"/>
  <c r="F840" i="5"/>
  <c r="E840" i="5"/>
  <c r="H839" i="5"/>
  <c r="G839" i="5"/>
  <c r="F839" i="5"/>
  <c r="E839" i="5"/>
  <c r="H838" i="5"/>
  <c r="G838" i="5"/>
  <c r="F838" i="5"/>
  <c r="E838" i="5"/>
  <c r="H837" i="5"/>
  <c r="G837" i="5"/>
  <c r="F837" i="5"/>
  <c r="E837" i="5"/>
  <c r="H836" i="5"/>
  <c r="G836" i="5"/>
  <c r="F836" i="5"/>
  <c r="E836" i="5"/>
  <c r="H835" i="5"/>
  <c r="G835" i="5"/>
  <c r="F835" i="5"/>
  <c r="E835" i="5"/>
  <c r="H834" i="5"/>
  <c r="G834" i="5"/>
  <c r="F834" i="5"/>
  <c r="E834" i="5"/>
  <c r="H833" i="5"/>
  <c r="G833" i="5"/>
  <c r="F833" i="5"/>
  <c r="E833" i="5"/>
  <c r="H832" i="5"/>
  <c r="G832" i="5"/>
  <c r="F832" i="5"/>
  <c r="E832" i="5"/>
  <c r="H831" i="5"/>
  <c r="G831" i="5"/>
  <c r="F831" i="5"/>
  <c r="E831" i="5"/>
  <c r="H830" i="5"/>
  <c r="G830" i="5"/>
  <c r="F830" i="5"/>
  <c r="E830" i="5"/>
  <c r="H829" i="5"/>
  <c r="G829" i="5"/>
  <c r="F829" i="5"/>
  <c r="E829" i="5"/>
  <c r="H828" i="5"/>
  <c r="G828" i="5"/>
  <c r="F828" i="5"/>
  <c r="E828" i="5"/>
  <c r="H827" i="5"/>
  <c r="G827" i="5"/>
  <c r="F827" i="5"/>
  <c r="E827" i="5"/>
  <c r="H826" i="5"/>
  <c r="G826" i="5"/>
  <c r="F826" i="5"/>
  <c r="E826" i="5"/>
  <c r="H825" i="5"/>
  <c r="G825" i="5"/>
  <c r="F825" i="5"/>
  <c r="E825" i="5"/>
  <c r="H824" i="5"/>
  <c r="G824" i="5"/>
  <c r="F824" i="5"/>
  <c r="E824" i="5"/>
  <c r="H823" i="5"/>
  <c r="G823" i="5"/>
  <c r="F823" i="5"/>
  <c r="E823" i="5"/>
  <c r="H822" i="5"/>
  <c r="G822" i="5"/>
  <c r="F822" i="5"/>
  <c r="E822" i="5"/>
  <c r="H821" i="5"/>
  <c r="G821" i="5"/>
  <c r="F821" i="5"/>
  <c r="E821" i="5"/>
  <c r="H820" i="5"/>
  <c r="G820" i="5"/>
  <c r="F820" i="5"/>
  <c r="E820" i="5"/>
  <c r="H819" i="5"/>
  <c r="G819" i="5"/>
  <c r="F819" i="5"/>
  <c r="E819" i="5"/>
  <c r="H818" i="5"/>
  <c r="G818" i="5"/>
  <c r="F818" i="5"/>
  <c r="E818" i="5"/>
  <c r="H817" i="5"/>
  <c r="G817" i="5"/>
  <c r="F817" i="5"/>
  <c r="E817" i="5"/>
  <c r="H816" i="5"/>
  <c r="G816" i="5"/>
  <c r="F816" i="5"/>
  <c r="E816" i="5"/>
  <c r="H815" i="5"/>
  <c r="G815" i="5"/>
  <c r="F815" i="5"/>
  <c r="E815" i="5"/>
  <c r="H814" i="5"/>
  <c r="G814" i="5"/>
  <c r="F814" i="5"/>
  <c r="E814" i="5"/>
  <c r="H813" i="5"/>
  <c r="G813" i="5"/>
  <c r="F813" i="5"/>
  <c r="E813" i="5"/>
  <c r="H812" i="5"/>
  <c r="G812" i="5"/>
  <c r="F812" i="5"/>
  <c r="E812" i="5"/>
  <c r="H811" i="5"/>
  <c r="G811" i="5"/>
  <c r="F811" i="5"/>
  <c r="E811" i="5"/>
  <c r="H810" i="5"/>
  <c r="G810" i="5"/>
  <c r="F810" i="5"/>
  <c r="E810" i="5"/>
  <c r="H809" i="5"/>
  <c r="G809" i="5"/>
  <c r="F809" i="5"/>
  <c r="E809" i="5"/>
  <c r="H808" i="5"/>
  <c r="G808" i="5"/>
  <c r="F808" i="5"/>
  <c r="E808" i="5"/>
  <c r="H807" i="5"/>
  <c r="G807" i="5"/>
  <c r="F807" i="5"/>
  <c r="E807" i="5"/>
  <c r="H806" i="5"/>
  <c r="G806" i="5"/>
  <c r="F806" i="5"/>
  <c r="E806" i="5"/>
  <c r="H805" i="5"/>
  <c r="G805" i="5"/>
  <c r="F805" i="5"/>
  <c r="E805" i="5"/>
  <c r="H804" i="5"/>
  <c r="G804" i="5"/>
  <c r="F804" i="5"/>
  <c r="E804" i="5"/>
  <c r="H803" i="5"/>
  <c r="G803" i="5"/>
  <c r="F803" i="5"/>
  <c r="E803" i="5"/>
  <c r="H802" i="5"/>
  <c r="G802" i="5"/>
  <c r="F802" i="5"/>
  <c r="E802" i="5"/>
  <c r="H801" i="5"/>
  <c r="G801" i="5"/>
  <c r="F801" i="5"/>
  <c r="E801" i="5"/>
  <c r="H800" i="5"/>
  <c r="G800" i="5"/>
  <c r="F800" i="5"/>
  <c r="E800" i="5"/>
  <c r="H799" i="5"/>
  <c r="G799" i="5"/>
  <c r="F799" i="5"/>
  <c r="E799" i="5"/>
  <c r="H798" i="5"/>
  <c r="G798" i="5"/>
  <c r="F798" i="5"/>
  <c r="E798" i="5"/>
  <c r="H797" i="5"/>
  <c r="G797" i="5"/>
  <c r="F797" i="5"/>
  <c r="E797" i="5"/>
  <c r="H796" i="5"/>
  <c r="G796" i="5"/>
  <c r="F796" i="5"/>
  <c r="E796" i="5"/>
  <c r="H795" i="5"/>
  <c r="G795" i="5"/>
  <c r="F795" i="5"/>
  <c r="E795" i="5"/>
  <c r="H794" i="5"/>
  <c r="G794" i="5"/>
  <c r="F794" i="5"/>
  <c r="E794" i="5"/>
  <c r="H793" i="5"/>
  <c r="G793" i="5"/>
  <c r="F793" i="5"/>
  <c r="E793" i="5"/>
  <c r="H792" i="5"/>
  <c r="G792" i="5"/>
  <c r="F792" i="5"/>
  <c r="E792" i="5"/>
  <c r="H791" i="5"/>
  <c r="G791" i="5"/>
  <c r="F791" i="5"/>
  <c r="E791" i="5"/>
  <c r="H790" i="5"/>
  <c r="G790" i="5"/>
  <c r="F790" i="5"/>
  <c r="E790" i="5"/>
  <c r="H789" i="5"/>
  <c r="G789" i="5"/>
  <c r="F789" i="5"/>
  <c r="E789" i="5"/>
  <c r="H788" i="5"/>
  <c r="G788" i="5"/>
  <c r="F788" i="5"/>
  <c r="E788" i="5"/>
  <c r="H787" i="5"/>
  <c r="G787" i="5"/>
  <c r="F787" i="5"/>
  <c r="E787" i="5"/>
  <c r="H786" i="5"/>
  <c r="G786" i="5"/>
  <c r="F786" i="5"/>
  <c r="E786" i="5"/>
  <c r="H785" i="5"/>
  <c r="G785" i="5"/>
  <c r="F785" i="5"/>
  <c r="E785" i="5"/>
  <c r="H784" i="5"/>
  <c r="G784" i="5"/>
  <c r="F784" i="5"/>
  <c r="E784" i="5"/>
  <c r="H783" i="5"/>
  <c r="G783" i="5"/>
  <c r="F783" i="5"/>
  <c r="E783" i="5"/>
  <c r="H782" i="5"/>
  <c r="G782" i="5"/>
  <c r="F782" i="5"/>
  <c r="E782" i="5"/>
  <c r="H781" i="5"/>
  <c r="G781" i="5"/>
  <c r="F781" i="5"/>
  <c r="E781" i="5"/>
  <c r="H780" i="5"/>
  <c r="G780" i="5"/>
  <c r="F780" i="5"/>
  <c r="E780" i="5"/>
  <c r="H779" i="5"/>
  <c r="G779" i="5"/>
  <c r="F779" i="5"/>
  <c r="E779" i="5"/>
  <c r="H778" i="5"/>
  <c r="G778" i="5"/>
  <c r="F778" i="5"/>
  <c r="E778" i="5"/>
  <c r="H777" i="5"/>
  <c r="G777" i="5"/>
  <c r="F777" i="5"/>
  <c r="E777" i="5"/>
  <c r="H776" i="5"/>
  <c r="G776" i="5"/>
  <c r="F776" i="5"/>
  <c r="E776" i="5"/>
  <c r="H775" i="5"/>
  <c r="G775" i="5"/>
  <c r="F775" i="5"/>
  <c r="E775" i="5"/>
  <c r="H774" i="5"/>
  <c r="G774" i="5"/>
  <c r="F774" i="5"/>
  <c r="E774" i="5"/>
  <c r="H773" i="5"/>
  <c r="G773" i="5"/>
  <c r="F773" i="5"/>
  <c r="E773" i="5"/>
  <c r="H772" i="5"/>
  <c r="G772" i="5"/>
  <c r="F772" i="5"/>
  <c r="E772" i="5"/>
  <c r="H771" i="5"/>
  <c r="G771" i="5"/>
  <c r="F771" i="5"/>
  <c r="E771" i="5"/>
  <c r="H770" i="5"/>
  <c r="G770" i="5"/>
  <c r="F770" i="5"/>
  <c r="E770" i="5"/>
  <c r="H769" i="5"/>
  <c r="G769" i="5"/>
  <c r="F769" i="5"/>
  <c r="E769" i="5"/>
  <c r="H768" i="5"/>
  <c r="G768" i="5"/>
  <c r="F768" i="5"/>
  <c r="E768" i="5"/>
  <c r="H767" i="5"/>
  <c r="G767" i="5"/>
  <c r="F767" i="5"/>
  <c r="E767" i="5"/>
  <c r="H766" i="5"/>
  <c r="G766" i="5"/>
  <c r="F766" i="5"/>
  <c r="E766" i="5"/>
  <c r="H765" i="5"/>
  <c r="G765" i="5"/>
  <c r="F765" i="5"/>
  <c r="E765" i="5"/>
  <c r="H764" i="5"/>
  <c r="G764" i="5"/>
  <c r="F764" i="5"/>
  <c r="E764" i="5"/>
  <c r="H763" i="5"/>
  <c r="G763" i="5"/>
  <c r="F763" i="5"/>
  <c r="E763" i="5"/>
  <c r="H762" i="5"/>
  <c r="G762" i="5"/>
  <c r="F762" i="5"/>
  <c r="E762" i="5"/>
  <c r="H761" i="5"/>
  <c r="G761" i="5"/>
  <c r="F761" i="5"/>
  <c r="E761" i="5"/>
  <c r="H760" i="5"/>
  <c r="G760" i="5"/>
  <c r="F760" i="5"/>
  <c r="E760" i="5"/>
  <c r="H759" i="5"/>
  <c r="G759" i="5"/>
  <c r="F759" i="5"/>
  <c r="E759" i="5"/>
  <c r="H758" i="5"/>
  <c r="G758" i="5"/>
  <c r="F758" i="5"/>
  <c r="E758" i="5"/>
  <c r="H757" i="5"/>
  <c r="G757" i="5"/>
  <c r="F757" i="5"/>
  <c r="E757" i="5"/>
  <c r="H756" i="5"/>
  <c r="G756" i="5"/>
  <c r="F756" i="5"/>
  <c r="E756" i="5"/>
  <c r="H755" i="5"/>
  <c r="G755" i="5"/>
  <c r="F755" i="5"/>
  <c r="E755" i="5"/>
  <c r="H754" i="5"/>
  <c r="G754" i="5"/>
  <c r="F754" i="5"/>
  <c r="E754" i="5"/>
  <c r="H753" i="5"/>
  <c r="G753" i="5"/>
  <c r="F753" i="5"/>
  <c r="E753" i="5"/>
  <c r="H752" i="5"/>
  <c r="G752" i="5"/>
  <c r="F752" i="5"/>
  <c r="E752" i="5"/>
  <c r="H751" i="5"/>
  <c r="G751" i="5"/>
  <c r="F751" i="5"/>
  <c r="E751" i="5"/>
  <c r="H750" i="5"/>
  <c r="G750" i="5"/>
  <c r="F750" i="5"/>
  <c r="E750" i="5"/>
  <c r="H749" i="5"/>
  <c r="G749" i="5"/>
  <c r="F749" i="5"/>
  <c r="E749" i="5"/>
  <c r="H748" i="5"/>
  <c r="G748" i="5"/>
  <c r="F748" i="5"/>
  <c r="E748" i="5"/>
  <c r="H747" i="5"/>
  <c r="G747" i="5"/>
  <c r="F747" i="5"/>
  <c r="E747" i="5"/>
  <c r="H746" i="5"/>
  <c r="G746" i="5"/>
  <c r="F746" i="5"/>
  <c r="E746" i="5"/>
  <c r="H745" i="5"/>
  <c r="G745" i="5"/>
  <c r="F745" i="5"/>
  <c r="E745" i="5"/>
  <c r="H744" i="5"/>
  <c r="G744" i="5"/>
  <c r="F744" i="5"/>
  <c r="E744" i="5"/>
  <c r="H743" i="5"/>
  <c r="G743" i="5"/>
  <c r="F743" i="5"/>
  <c r="E743" i="5"/>
  <c r="H742" i="5"/>
  <c r="G742" i="5"/>
  <c r="F742" i="5"/>
  <c r="E742" i="5"/>
  <c r="H741" i="5"/>
  <c r="G741" i="5"/>
  <c r="F741" i="5"/>
  <c r="E741" i="5"/>
  <c r="H740" i="5"/>
  <c r="G740" i="5"/>
  <c r="F740" i="5"/>
  <c r="E740" i="5"/>
  <c r="H739" i="5"/>
  <c r="G739" i="5"/>
  <c r="F739" i="5"/>
  <c r="E739" i="5"/>
  <c r="H738" i="5"/>
  <c r="G738" i="5"/>
  <c r="F738" i="5"/>
  <c r="E738" i="5"/>
  <c r="H737" i="5"/>
  <c r="G737" i="5"/>
  <c r="F737" i="5"/>
  <c r="E737" i="5"/>
  <c r="H736" i="5"/>
  <c r="G736" i="5"/>
  <c r="F736" i="5"/>
  <c r="E736" i="5"/>
  <c r="H735" i="5"/>
  <c r="G735" i="5"/>
  <c r="F735" i="5"/>
  <c r="E735" i="5"/>
  <c r="H734" i="5"/>
  <c r="G734" i="5"/>
  <c r="F734" i="5"/>
  <c r="E734" i="5"/>
  <c r="H733" i="5"/>
  <c r="G733" i="5"/>
  <c r="F733" i="5"/>
  <c r="E733" i="5"/>
  <c r="H732" i="5"/>
  <c r="G732" i="5"/>
  <c r="F732" i="5"/>
  <c r="E732" i="5"/>
  <c r="H731" i="5"/>
  <c r="G731" i="5"/>
  <c r="F731" i="5"/>
  <c r="E731" i="5"/>
  <c r="H730" i="5"/>
  <c r="G730" i="5"/>
  <c r="F730" i="5"/>
  <c r="E730" i="5"/>
  <c r="H729" i="5"/>
  <c r="G729" i="5"/>
  <c r="F729" i="5"/>
  <c r="E729" i="5"/>
  <c r="H728" i="5"/>
  <c r="G728" i="5"/>
  <c r="F728" i="5"/>
  <c r="E728" i="5"/>
  <c r="H727" i="5"/>
  <c r="G727" i="5"/>
  <c r="F727" i="5"/>
  <c r="E727" i="5"/>
  <c r="H726" i="5"/>
  <c r="G726" i="5"/>
  <c r="F726" i="5"/>
  <c r="E726" i="5"/>
  <c r="H725" i="5"/>
  <c r="G725" i="5"/>
  <c r="F725" i="5"/>
  <c r="E725" i="5"/>
  <c r="H724" i="5"/>
  <c r="G724" i="5"/>
  <c r="F724" i="5"/>
  <c r="E724" i="5"/>
  <c r="H723" i="5"/>
  <c r="G723" i="5"/>
  <c r="F723" i="5"/>
  <c r="E723" i="5"/>
  <c r="H722" i="5"/>
  <c r="G722" i="5"/>
  <c r="F722" i="5"/>
  <c r="E722" i="5"/>
  <c r="H721" i="5"/>
  <c r="G721" i="5"/>
  <c r="F721" i="5"/>
  <c r="E721" i="5"/>
  <c r="H720" i="5"/>
  <c r="G720" i="5"/>
  <c r="F720" i="5"/>
  <c r="E720" i="5"/>
  <c r="H719" i="5"/>
  <c r="G719" i="5"/>
  <c r="F719" i="5"/>
  <c r="E719" i="5"/>
  <c r="H718" i="5"/>
  <c r="G718" i="5"/>
  <c r="F718" i="5"/>
  <c r="E718" i="5"/>
  <c r="H717" i="5"/>
  <c r="G717" i="5"/>
  <c r="F717" i="5"/>
  <c r="E717" i="5"/>
  <c r="H716" i="5"/>
  <c r="G716" i="5"/>
  <c r="F716" i="5"/>
  <c r="E716" i="5"/>
  <c r="H715" i="5"/>
  <c r="G715" i="5"/>
  <c r="F715" i="5"/>
  <c r="E715" i="5"/>
  <c r="H714" i="5"/>
  <c r="G714" i="5"/>
  <c r="F714" i="5"/>
  <c r="E714" i="5"/>
  <c r="H713" i="5"/>
  <c r="G713" i="5"/>
  <c r="F713" i="5"/>
  <c r="E713" i="5"/>
  <c r="H712" i="5"/>
  <c r="G712" i="5"/>
  <c r="F712" i="5"/>
  <c r="E712" i="5"/>
  <c r="H711" i="5"/>
  <c r="G711" i="5"/>
  <c r="F711" i="5"/>
  <c r="E711" i="5"/>
  <c r="H710" i="5"/>
  <c r="G710" i="5"/>
  <c r="F710" i="5"/>
  <c r="E710" i="5"/>
  <c r="H709" i="5"/>
  <c r="G709" i="5"/>
  <c r="F709" i="5"/>
  <c r="E709" i="5"/>
  <c r="H708" i="5"/>
  <c r="G708" i="5"/>
  <c r="F708" i="5"/>
  <c r="E708" i="5"/>
  <c r="H707" i="5"/>
  <c r="G707" i="5"/>
  <c r="F707" i="5"/>
  <c r="E707" i="5"/>
  <c r="H706" i="5"/>
  <c r="G706" i="5"/>
  <c r="F706" i="5"/>
  <c r="E706" i="5"/>
  <c r="H705" i="5"/>
  <c r="G705" i="5"/>
  <c r="F705" i="5"/>
  <c r="E705" i="5"/>
  <c r="H704" i="5"/>
  <c r="G704" i="5"/>
  <c r="F704" i="5"/>
  <c r="E704" i="5"/>
  <c r="H703" i="5"/>
  <c r="G703" i="5"/>
  <c r="F703" i="5"/>
  <c r="E703" i="5"/>
  <c r="H702" i="5"/>
  <c r="G702" i="5"/>
  <c r="F702" i="5"/>
  <c r="E702" i="5"/>
  <c r="H701" i="5"/>
  <c r="G701" i="5"/>
  <c r="F701" i="5"/>
  <c r="E701" i="5"/>
  <c r="H700" i="5"/>
  <c r="G700" i="5"/>
  <c r="F700" i="5"/>
  <c r="E700" i="5"/>
  <c r="H699" i="5"/>
  <c r="G699" i="5"/>
  <c r="F699" i="5"/>
  <c r="E699" i="5"/>
  <c r="H698" i="5"/>
  <c r="G698" i="5"/>
  <c r="F698" i="5"/>
  <c r="E698" i="5"/>
  <c r="H697" i="5"/>
  <c r="G697" i="5"/>
  <c r="F697" i="5"/>
  <c r="E697" i="5"/>
  <c r="H696" i="5"/>
  <c r="G696" i="5"/>
  <c r="F696" i="5"/>
  <c r="E696" i="5"/>
  <c r="H695" i="5"/>
  <c r="G695" i="5"/>
  <c r="F695" i="5"/>
  <c r="E695" i="5"/>
  <c r="H694" i="5"/>
  <c r="G694" i="5"/>
  <c r="F694" i="5"/>
  <c r="E694" i="5"/>
  <c r="H693" i="5"/>
  <c r="G693" i="5"/>
  <c r="F693" i="5"/>
  <c r="E693" i="5"/>
  <c r="H692" i="5"/>
  <c r="G692" i="5"/>
  <c r="F692" i="5"/>
  <c r="E692" i="5"/>
  <c r="H691" i="5"/>
  <c r="G691" i="5"/>
  <c r="F691" i="5"/>
  <c r="E691" i="5"/>
  <c r="H690" i="5"/>
  <c r="G690" i="5"/>
  <c r="F690" i="5"/>
  <c r="E690" i="5"/>
  <c r="H689" i="5"/>
  <c r="G689" i="5"/>
  <c r="F689" i="5"/>
  <c r="E689" i="5"/>
  <c r="H688" i="5"/>
  <c r="G688" i="5"/>
  <c r="F688" i="5"/>
  <c r="E688" i="5"/>
  <c r="H687" i="5"/>
  <c r="G687" i="5"/>
  <c r="F687" i="5"/>
  <c r="E687" i="5"/>
  <c r="H686" i="5"/>
  <c r="G686" i="5"/>
  <c r="F686" i="5"/>
  <c r="E686" i="5"/>
  <c r="H685" i="5"/>
  <c r="G685" i="5"/>
  <c r="F685" i="5"/>
  <c r="E685" i="5"/>
  <c r="H684" i="5"/>
  <c r="G684" i="5"/>
  <c r="F684" i="5"/>
  <c r="E684" i="5"/>
  <c r="H683" i="5"/>
  <c r="G683" i="5"/>
  <c r="F683" i="5"/>
  <c r="E683" i="5"/>
  <c r="H682" i="5"/>
  <c r="G682" i="5"/>
  <c r="F682" i="5"/>
  <c r="E682" i="5"/>
  <c r="H681" i="5"/>
  <c r="G681" i="5"/>
  <c r="F681" i="5"/>
  <c r="E681" i="5"/>
  <c r="H680" i="5"/>
  <c r="G680" i="5"/>
  <c r="F680" i="5"/>
  <c r="E680" i="5"/>
  <c r="H679" i="5"/>
  <c r="G679" i="5"/>
  <c r="F679" i="5"/>
  <c r="E679" i="5"/>
  <c r="H678" i="5"/>
  <c r="G678" i="5"/>
  <c r="F678" i="5"/>
  <c r="E678" i="5"/>
  <c r="H677" i="5"/>
  <c r="G677" i="5"/>
  <c r="F677" i="5"/>
  <c r="E677" i="5"/>
  <c r="H676" i="5"/>
  <c r="G676" i="5"/>
  <c r="F676" i="5"/>
  <c r="E676" i="5"/>
  <c r="H675" i="5"/>
  <c r="G675" i="5"/>
  <c r="F675" i="5"/>
  <c r="E675" i="5"/>
  <c r="H674" i="5"/>
  <c r="G674" i="5"/>
  <c r="F674" i="5"/>
  <c r="E674" i="5"/>
  <c r="H673" i="5"/>
  <c r="G673" i="5"/>
  <c r="F673" i="5"/>
  <c r="E673" i="5"/>
  <c r="H672" i="5"/>
  <c r="G672" i="5"/>
  <c r="F672" i="5"/>
  <c r="E672" i="5"/>
  <c r="H671" i="5"/>
  <c r="G671" i="5"/>
  <c r="F671" i="5"/>
  <c r="E671" i="5"/>
  <c r="H670" i="5"/>
  <c r="G670" i="5"/>
  <c r="F670" i="5"/>
  <c r="E670" i="5"/>
  <c r="H669" i="5"/>
  <c r="G669" i="5"/>
  <c r="F669" i="5"/>
  <c r="E669" i="5"/>
  <c r="H668" i="5"/>
  <c r="G668" i="5"/>
  <c r="F668" i="5"/>
  <c r="E668" i="5"/>
  <c r="H667" i="5"/>
  <c r="G667" i="5"/>
  <c r="F667" i="5"/>
  <c r="E667" i="5"/>
  <c r="H666" i="5"/>
  <c r="G666" i="5"/>
  <c r="F666" i="5"/>
  <c r="E666" i="5"/>
  <c r="H665" i="5"/>
  <c r="G665" i="5"/>
  <c r="F665" i="5"/>
  <c r="E665" i="5"/>
  <c r="H664" i="5"/>
  <c r="G664" i="5"/>
  <c r="F664" i="5"/>
  <c r="E664" i="5"/>
  <c r="H663" i="5"/>
  <c r="G663" i="5"/>
  <c r="F663" i="5"/>
  <c r="E663" i="5"/>
  <c r="H662" i="5"/>
  <c r="G662" i="5"/>
  <c r="F662" i="5"/>
  <c r="E662" i="5"/>
  <c r="H661" i="5"/>
  <c r="G661" i="5"/>
  <c r="F661" i="5"/>
  <c r="E661" i="5"/>
  <c r="H660" i="5"/>
  <c r="G660" i="5"/>
  <c r="F660" i="5"/>
  <c r="E660" i="5"/>
  <c r="H659" i="5"/>
  <c r="G659" i="5"/>
  <c r="F659" i="5"/>
  <c r="E659" i="5"/>
  <c r="H658" i="5"/>
  <c r="G658" i="5"/>
  <c r="F658" i="5"/>
  <c r="E658" i="5"/>
  <c r="H657" i="5"/>
  <c r="G657" i="5"/>
  <c r="F657" i="5"/>
  <c r="E657" i="5"/>
  <c r="H656" i="5"/>
  <c r="G656" i="5"/>
  <c r="F656" i="5"/>
  <c r="E656" i="5"/>
  <c r="H655" i="5"/>
  <c r="G655" i="5"/>
  <c r="F655" i="5"/>
  <c r="E655" i="5"/>
  <c r="H654" i="5"/>
  <c r="G654" i="5"/>
  <c r="F654" i="5"/>
  <c r="E654" i="5"/>
  <c r="H653" i="5"/>
  <c r="G653" i="5"/>
  <c r="F653" i="5"/>
  <c r="E653" i="5"/>
  <c r="H652" i="5"/>
  <c r="G652" i="5"/>
  <c r="F652" i="5"/>
  <c r="E652" i="5"/>
  <c r="H651" i="5"/>
  <c r="G651" i="5"/>
  <c r="F651" i="5"/>
  <c r="E651" i="5"/>
  <c r="H650" i="5"/>
  <c r="G650" i="5"/>
  <c r="F650" i="5"/>
  <c r="E650" i="5"/>
  <c r="H649" i="5"/>
  <c r="G649" i="5"/>
  <c r="F649" i="5"/>
  <c r="E649" i="5"/>
  <c r="H648" i="5"/>
  <c r="G648" i="5"/>
  <c r="F648" i="5"/>
  <c r="E648" i="5"/>
  <c r="H647" i="5"/>
  <c r="G647" i="5"/>
  <c r="F647" i="5"/>
  <c r="E647" i="5"/>
  <c r="H646" i="5"/>
  <c r="G646" i="5"/>
  <c r="F646" i="5"/>
  <c r="E646" i="5"/>
  <c r="H645" i="5"/>
  <c r="G645" i="5"/>
  <c r="F645" i="5"/>
  <c r="E645" i="5"/>
  <c r="H644" i="5"/>
  <c r="G644" i="5"/>
  <c r="F644" i="5"/>
  <c r="E644" i="5"/>
  <c r="H643" i="5"/>
  <c r="G643" i="5"/>
  <c r="F643" i="5"/>
  <c r="E643" i="5"/>
  <c r="H642" i="5"/>
  <c r="G642" i="5"/>
  <c r="F642" i="5"/>
  <c r="E642" i="5"/>
  <c r="H641" i="5"/>
  <c r="G641" i="5"/>
  <c r="F641" i="5"/>
  <c r="E641" i="5"/>
  <c r="H640" i="5"/>
  <c r="G640" i="5"/>
  <c r="F640" i="5"/>
  <c r="E640" i="5"/>
  <c r="H639" i="5"/>
  <c r="G639" i="5"/>
  <c r="F639" i="5"/>
  <c r="E639" i="5"/>
  <c r="H638" i="5"/>
  <c r="G638" i="5"/>
  <c r="F638" i="5"/>
  <c r="E638" i="5"/>
  <c r="H637" i="5"/>
  <c r="G637" i="5"/>
  <c r="F637" i="5"/>
  <c r="E637" i="5"/>
  <c r="H636" i="5"/>
  <c r="G636" i="5"/>
  <c r="F636" i="5"/>
  <c r="E636" i="5"/>
  <c r="H635" i="5"/>
  <c r="G635" i="5"/>
  <c r="F635" i="5"/>
  <c r="E635" i="5"/>
  <c r="H634" i="5"/>
  <c r="G634" i="5"/>
  <c r="F634" i="5"/>
  <c r="E634" i="5"/>
  <c r="H633" i="5"/>
  <c r="G633" i="5"/>
  <c r="F633" i="5"/>
  <c r="E633" i="5"/>
  <c r="H632" i="5"/>
  <c r="G632" i="5"/>
  <c r="F632" i="5"/>
  <c r="E632" i="5"/>
  <c r="H631" i="5"/>
  <c r="G631" i="5"/>
  <c r="F631" i="5"/>
  <c r="E631" i="5"/>
  <c r="H630" i="5"/>
  <c r="G630" i="5"/>
  <c r="F630" i="5"/>
  <c r="E630" i="5"/>
  <c r="H629" i="5"/>
  <c r="G629" i="5"/>
  <c r="F629" i="5"/>
  <c r="E629" i="5"/>
  <c r="H628" i="5"/>
  <c r="G628" i="5"/>
  <c r="F628" i="5"/>
  <c r="E628" i="5"/>
  <c r="H627" i="5"/>
  <c r="G627" i="5"/>
  <c r="F627" i="5"/>
  <c r="E627" i="5"/>
  <c r="H626" i="5"/>
  <c r="G626" i="5"/>
  <c r="F626" i="5"/>
  <c r="E626" i="5"/>
  <c r="H625" i="5"/>
  <c r="G625" i="5"/>
  <c r="F625" i="5"/>
  <c r="E625" i="5"/>
  <c r="H624" i="5"/>
  <c r="G624" i="5"/>
  <c r="F624" i="5"/>
  <c r="E624" i="5"/>
  <c r="H623" i="5"/>
  <c r="G623" i="5"/>
  <c r="F623" i="5"/>
  <c r="E623" i="5"/>
  <c r="H622" i="5"/>
  <c r="G622" i="5"/>
  <c r="F622" i="5"/>
  <c r="E622" i="5"/>
  <c r="H621" i="5"/>
  <c r="G621" i="5"/>
  <c r="F621" i="5"/>
  <c r="E621" i="5"/>
  <c r="H620" i="5"/>
  <c r="G620" i="5"/>
  <c r="F620" i="5"/>
  <c r="E620" i="5"/>
  <c r="H619" i="5"/>
  <c r="G619" i="5"/>
  <c r="F619" i="5"/>
  <c r="E619" i="5"/>
  <c r="H618" i="5"/>
  <c r="G618" i="5"/>
  <c r="F618" i="5"/>
  <c r="E618" i="5"/>
  <c r="H617" i="5"/>
  <c r="G617" i="5"/>
  <c r="F617" i="5"/>
  <c r="E617" i="5"/>
  <c r="H616" i="5"/>
  <c r="G616" i="5"/>
  <c r="F616" i="5"/>
  <c r="E616" i="5"/>
  <c r="H615" i="5"/>
  <c r="G615" i="5"/>
  <c r="F615" i="5"/>
  <c r="E615" i="5"/>
  <c r="H614" i="5"/>
  <c r="G614" i="5"/>
  <c r="F614" i="5"/>
  <c r="E614" i="5"/>
  <c r="H613" i="5"/>
  <c r="G613" i="5"/>
  <c r="F613" i="5"/>
  <c r="E613" i="5"/>
  <c r="H612" i="5"/>
  <c r="G612" i="5"/>
  <c r="F612" i="5"/>
  <c r="E612" i="5"/>
  <c r="H611" i="5"/>
  <c r="G611" i="5"/>
  <c r="F611" i="5"/>
  <c r="E611" i="5"/>
  <c r="H610" i="5"/>
  <c r="G610" i="5"/>
  <c r="F610" i="5"/>
  <c r="E610" i="5"/>
  <c r="H609" i="5"/>
  <c r="G609" i="5"/>
  <c r="F609" i="5"/>
  <c r="E609" i="5"/>
  <c r="H608" i="5"/>
  <c r="G608" i="5"/>
  <c r="F608" i="5"/>
  <c r="E608" i="5"/>
  <c r="H607" i="5"/>
  <c r="G607" i="5"/>
  <c r="F607" i="5"/>
  <c r="E607" i="5"/>
  <c r="H606" i="5"/>
  <c r="G606" i="5"/>
  <c r="F606" i="5"/>
  <c r="E606" i="5"/>
  <c r="H605" i="5"/>
  <c r="G605" i="5"/>
  <c r="F605" i="5"/>
  <c r="E605" i="5"/>
  <c r="H604" i="5"/>
  <c r="G604" i="5"/>
  <c r="F604" i="5"/>
  <c r="E604" i="5"/>
  <c r="H603" i="5"/>
  <c r="G603" i="5"/>
  <c r="F603" i="5"/>
  <c r="E603" i="5"/>
  <c r="H602" i="5"/>
  <c r="G602" i="5"/>
  <c r="F602" i="5"/>
  <c r="E602" i="5"/>
  <c r="H601" i="5"/>
  <c r="G601" i="5"/>
  <c r="F601" i="5"/>
  <c r="E601" i="5"/>
  <c r="H600" i="5"/>
  <c r="G600" i="5"/>
  <c r="F600" i="5"/>
  <c r="E600" i="5"/>
  <c r="H599" i="5"/>
  <c r="G599" i="5"/>
  <c r="F599" i="5"/>
  <c r="E599" i="5"/>
  <c r="H598" i="5"/>
  <c r="G598" i="5"/>
  <c r="F598" i="5"/>
  <c r="E598" i="5"/>
  <c r="H597" i="5"/>
  <c r="G597" i="5"/>
  <c r="F597" i="5"/>
  <c r="E597" i="5"/>
  <c r="H596" i="5"/>
  <c r="G596" i="5"/>
  <c r="F596" i="5"/>
  <c r="E596" i="5"/>
  <c r="H595" i="5"/>
  <c r="G595" i="5"/>
  <c r="F595" i="5"/>
  <c r="E595" i="5"/>
  <c r="H594" i="5"/>
  <c r="G594" i="5"/>
  <c r="F594" i="5"/>
  <c r="E594" i="5"/>
  <c r="H593" i="5"/>
  <c r="G593" i="5"/>
  <c r="F593" i="5"/>
  <c r="E593" i="5"/>
  <c r="H592" i="5"/>
  <c r="G592" i="5"/>
  <c r="F592" i="5"/>
  <c r="E592" i="5"/>
  <c r="H591" i="5"/>
  <c r="G591" i="5"/>
  <c r="F591" i="5"/>
  <c r="E591" i="5"/>
  <c r="H590" i="5"/>
  <c r="G590" i="5"/>
  <c r="F590" i="5"/>
  <c r="E590" i="5"/>
  <c r="H589" i="5"/>
  <c r="G589" i="5"/>
  <c r="F589" i="5"/>
  <c r="E589" i="5"/>
  <c r="H588" i="5"/>
  <c r="G588" i="5"/>
  <c r="F588" i="5"/>
  <c r="E588" i="5"/>
  <c r="H587" i="5"/>
  <c r="G587" i="5"/>
  <c r="F587" i="5"/>
  <c r="E587" i="5"/>
  <c r="H586" i="5"/>
  <c r="G586" i="5"/>
  <c r="F586" i="5"/>
  <c r="E586" i="5"/>
  <c r="H585" i="5"/>
  <c r="G585" i="5"/>
  <c r="F585" i="5"/>
  <c r="E585" i="5"/>
  <c r="H584" i="5"/>
  <c r="G584" i="5"/>
  <c r="F584" i="5"/>
  <c r="E584" i="5"/>
  <c r="H583" i="5"/>
  <c r="G583" i="5"/>
  <c r="F583" i="5"/>
  <c r="E583" i="5"/>
  <c r="H582" i="5"/>
  <c r="G582" i="5"/>
  <c r="F582" i="5"/>
  <c r="E582" i="5"/>
  <c r="H581" i="5"/>
  <c r="G581" i="5"/>
  <c r="F581" i="5"/>
  <c r="E581" i="5"/>
  <c r="H580" i="5"/>
  <c r="G580" i="5"/>
  <c r="F580" i="5"/>
  <c r="E580" i="5"/>
  <c r="H579" i="5"/>
  <c r="G579" i="5"/>
  <c r="F579" i="5"/>
  <c r="E579" i="5"/>
  <c r="H578" i="5"/>
  <c r="G578" i="5"/>
  <c r="F578" i="5"/>
  <c r="E578" i="5"/>
  <c r="H577" i="5"/>
  <c r="G577" i="5"/>
  <c r="F577" i="5"/>
  <c r="E577" i="5"/>
  <c r="H576" i="5"/>
  <c r="G576" i="5"/>
  <c r="F576" i="5"/>
  <c r="E576" i="5"/>
  <c r="H575" i="5"/>
  <c r="G575" i="5"/>
  <c r="F575" i="5"/>
  <c r="E575" i="5"/>
  <c r="H574" i="5"/>
  <c r="G574" i="5"/>
  <c r="F574" i="5"/>
  <c r="E574" i="5"/>
  <c r="H573" i="5"/>
  <c r="G573" i="5"/>
  <c r="F573" i="5"/>
  <c r="E573" i="5"/>
  <c r="H572" i="5"/>
  <c r="G572" i="5"/>
  <c r="F572" i="5"/>
  <c r="E572" i="5"/>
  <c r="H571" i="5"/>
  <c r="G571" i="5"/>
  <c r="F571" i="5"/>
  <c r="E571" i="5"/>
  <c r="H570" i="5"/>
  <c r="G570" i="5"/>
  <c r="F570" i="5"/>
  <c r="E570" i="5"/>
  <c r="H569" i="5"/>
  <c r="G569" i="5"/>
  <c r="F569" i="5"/>
  <c r="E569" i="5"/>
  <c r="H568" i="5"/>
  <c r="G568" i="5"/>
  <c r="F568" i="5"/>
  <c r="E568" i="5"/>
  <c r="H567" i="5"/>
  <c r="G567" i="5"/>
  <c r="F567" i="5"/>
  <c r="E567" i="5"/>
  <c r="H566" i="5"/>
  <c r="G566" i="5"/>
  <c r="F566" i="5"/>
  <c r="E566" i="5"/>
  <c r="H565" i="5"/>
  <c r="G565" i="5"/>
  <c r="F565" i="5"/>
  <c r="E565" i="5"/>
  <c r="H564" i="5"/>
  <c r="G564" i="5"/>
  <c r="F564" i="5"/>
  <c r="E564" i="5"/>
  <c r="H563" i="5"/>
  <c r="G563" i="5"/>
  <c r="F563" i="5"/>
  <c r="E563" i="5"/>
  <c r="H562" i="5"/>
  <c r="G562" i="5"/>
  <c r="F562" i="5"/>
  <c r="E562" i="5"/>
  <c r="H561" i="5"/>
  <c r="G561" i="5"/>
  <c r="F561" i="5"/>
  <c r="E561" i="5"/>
  <c r="H560" i="5"/>
  <c r="G560" i="5"/>
  <c r="F560" i="5"/>
  <c r="E560" i="5"/>
  <c r="H559" i="5"/>
  <c r="G559" i="5"/>
  <c r="F559" i="5"/>
  <c r="E559" i="5"/>
  <c r="H558" i="5"/>
  <c r="G558" i="5"/>
  <c r="F558" i="5"/>
  <c r="E558" i="5"/>
  <c r="H557" i="5"/>
  <c r="G557" i="5"/>
  <c r="F557" i="5"/>
  <c r="E557" i="5"/>
  <c r="H556" i="5"/>
  <c r="G556" i="5"/>
  <c r="F556" i="5"/>
  <c r="E556" i="5"/>
  <c r="H555" i="5"/>
  <c r="G555" i="5"/>
  <c r="F555" i="5"/>
  <c r="E555" i="5"/>
  <c r="H554" i="5"/>
  <c r="G554" i="5"/>
  <c r="F554" i="5"/>
  <c r="E554" i="5"/>
  <c r="H553" i="5"/>
  <c r="G553" i="5"/>
  <c r="F553" i="5"/>
  <c r="E553" i="5"/>
  <c r="H552" i="5"/>
  <c r="G552" i="5"/>
  <c r="F552" i="5"/>
  <c r="E552" i="5"/>
  <c r="H551" i="5"/>
  <c r="G551" i="5"/>
  <c r="F551" i="5"/>
  <c r="E551" i="5"/>
  <c r="H550" i="5"/>
  <c r="G550" i="5"/>
  <c r="F550" i="5"/>
  <c r="E550" i="5"/>
  <c r="H549" i="5"/>
  <c r="G549" i="5"/>
  <c r="F549" i="5"/>
  <c r="E549" i="5"/>
  <c r="H548" i="5"/>
  <c r="G548" i="5"/>
  <c r="F548" i="5"/>
  <c r="E548" i="5"/>
  <c r="H547" i="5"/>
  <c r="G547" i="5"/>
  <c r="F547" i="5"/>
  <c r="E547" i="5"/>
  <c r="H546" i="5"/>
  <c r="G546" i="5"/>
  <c r="F546" i="5"/>
  <c r="E546" i="5"/>
  <c r="H545" i="5"/>
  <c r="G545" i="5"/>
  <c r="F545" i="5"/>
  <c r="E545" i="5"/>
  <c r="H544" i="5"/>
  <c r="G544" i="5"/>
  <c r="F544" i="5"/>
  <c r="E544" i="5"/>
  <c r="H543" i="5"/>
  <c r="G543" i="5"/>
  <c r="F543" i="5"/>
  <c r="E543" i="5"/>
  <c r="H542" i="5"/>
  <c r="G542" i="5"/>
  <c r="F542" i="5"/>
  <c r="E542" i="5"/>
  <c r="H541" i="5"/>
  <c r="G541" i="5"/>
  <c r="F541" i="5"/>
  <c r="E541" i="5"/>
  <c r="H540" i="5"/>
  <c r="G540" i="5"/>
  <c r="F540" i="5"/>
  <c r="E540" i="5"/>
  <c r="H539" i="5"/>
  <c r="G539" i="5"/>
  <c r="F539" i="5"/>
  <c r="E539" i="5"/>
  <c r="H538" i="5"/>
  <c r="G538" i="5"/>
  <c r="F538" i="5"/>
  <c r="E538" i="5"/>
  <c r="H537" i="5"/>
  <c r="G537" i="5"/>
  <c r="F537" i="5"/>
  <c r="E537" i="5"/>
  <c r="H536" i="5"/>
  <c r="G536" i="5"/>
  <c r="F536" i="5"/>
  <c r="E536" i="5"/>
  <c r="H535" i="5"/>
  <c r="G535" i="5"/>
  <c r="F535" i="5"/>
  <c r="E535" i="5"/>
  <c r="H534" i="5"/>
  <c r="G534" i="5"/>
  <c r="F534" i="5"/>
  <c r="E534" i="5"/>
  <c r="H533" i="5"/>
  <c r="G533" i="5"/>
  <c r="F533" i="5"/>
  <c r="E533" i="5"/>
  <c r="H532" i="5"/>
  <c r="G532" i="5"/>
  <c r="F532" i="5"/>
  <c r="E532" i="5"/>
  <c r="H531" i="5"/>
  <c r="G531" i="5"/>
  <c r="F531" i="5"/>
  <c r="E531" i="5"/>
  <c r="H530" i="5"/>
  <c r="G530" i="5"/>
  <c r="F530" i="5"/>
  <c r="E530" i="5"/>
  <c r="H529" i="5"/>
  <c r="G529" i="5"/>
  <c r="F529" i="5"/>
  <c r="E529" i="5"/>
  <c r="H528" i="5"/>
  <c r="G528" i="5"/>
  <c r="F528" i="5"/>
  <c r="E528" i="5"/>
  <c r="H527" i="5"/>
  <c r="G527" i="5"/>
  <c r="F527" i="5"/>
  <c r="E527" i="5"/>
  <c r="H526" i="5"/>
  <c r="G526" i="5"/>
  <c r="F526" i="5"/>
  <c r="E526" i="5"/>
  <c r="H525" i="5"/>
  <c r="G525" i="5"/>
  <c r="F525" i="5"/>
  <c r="E525" i="5"/>
  <c r="H524" i="5"/>
  <c r="G524" i="5"/>
  <c r="F524" i="5"/>
  <c r="E524" i="5"/>
  <c r="H523" i="5"/>
  <c r="G523" i="5"/>
  <c r="F523" i="5"/>
  <c r="E523" i="5"/>
  <c r="H522" i="5"/>
  <c r="G522" i="5"/>
  <c r="F522" i="5"/>
  <c r="E522" i="5"/>
  <c r="H521" i="5"/>
  <c r="G521" i="5"/>
  <c r="F521" i="5"/>
  <c r="E521" i="5"/>
  <c r="H520" i="5"/>
  <c r="G520" i="5"/>
  <c r="F520" i="5"/>
  <c r="E520" i="5"/>
  <c r="H519" i="5"/>
  <c r="G519" i="5"/>
  <c r="F519" i="5"/>
  <c r="E519" i="5"/>
  <c r="H518" i="5"/>
  <c r="G518" i="5"/>
  <c r="F518" i="5"/>
  <c r="E518" i="5"/>
  <c r="H517" i="5"/>
  <c r="G517" i="5"/>
  <c r="F517" i="5"/>
  <c r="E517" i="5"/>
  <c r="H516" i="5"/>
  <c r="G516" i="5"/>
  <c r="F516" i="5"/>
  <c r="E516" i="5"/>
  <c r="H515" i="5"/>
  <c r="G515" i="5"/>
  <c r="F515" i="5"/>
  <c r="E515" i="5"/>
  <c r="H514" i="5"/>
  <c r="G514" i="5"/>
  <c r="F514" i="5"/>
  <c r="E514" i="5"/>
  <c r="H513" i="5"/>
  <c r="G513" i="5"/>
  <c r="F513" i="5"/>
  <c r="E513" i="5"/>
  <c r="H512" i="5"/>
  <c r="G512" i="5"/>
  <c r="F512" i="5"/>
  <c r="E512" i="5"/>
  <c r="H511" i="5"/>
  <c r="G511" i="5"/>
  <c r="F511" i="5"/>
  <c r="E511" i="5"/>
  <c r="H510" i="5"/>
  <c r="G510" i="5"/>
  <c r="F510" i="5"/>
  <c r="E510" i="5"/>
  <c r="H509" i="5"/>
  <c r="G509" i="5"/>
  <c r="F509" i="5"/>
  <c r="E509" i="5"/>
  <c r="H508" i="5"/>
  <c r="G508" i="5"/>
  <c r="F508" i="5"/>
  <c r="E508" i="5"/>
  <c r="H507" i="5"/>
  <c r="G507" i="5"/>
  <c r="F507" i="5"/>
  <c r="E507" i="5"/>
  <c r="H506" i="5"/>
  <c r="G506" i="5"/>
  <c r="F506" i="5"/>
  <c r="E506" i="5"/>
  <c r="H505" i="5"/>
  <c r="G505" i="5"/>
  <c r="F505" i="5"/>
  <c r="E505" i="5"/>
  <c r="H504" i="5"/>
  <c r="G504" i="5"/>
  <c r="F504" i="5"/>
  <c r="E504" i="5"/>
  <c r="H503" i="5"/>
  <c r="G503" i="5"/>
  <c r="F503" i="5"/>
  <c r="E503" i="5"/>
  <c r="H502" i="5"/>
  <c r="G502" i="5"/>
  <c r="F502" i="5"/>
  <c r="E502" i="5"/>
  <c r="H501" i="5"/>
  <c r="G501" i="5"/>
  <c r="F501" i="5"/>
  <c r="E501" i="5"/>
  <c r="H500" i="5"/>
  <c r="G500" i="5"/>
  <c r="F500" i="5"/>
  <c r="E500" i="5"/>
  <c r="H499" i="5"/>
  <c r="G499" i="5"/>
  <c r="F499" i="5"/>
  <c r="E499" i="5"/>
  <c r="H498" i="5"/>
  <c r="G498" i="5"/>
  <c r="F498" i="5"/>
  <c r="E498" i="5"/>
  <c r="H497" i="5"/>
  <c r="G497" i="5"/>
  <c r="F497" i="5"/>
  <c r="E497" i="5"/>
  <c r="H496" i="5"/>
  <c r="G496" i="5"/>
  <c r="F496" i="5"/>
  <c r="E496" i="5"/>
  <c r="H495" i="5"/>
  <c r="G495" i="5"/>
  <c r="F495" i="5"/>
  <c r="E495" i="5"/>
  <c r="H494" i="5"/>
  <c r="G494" i="5"/>
  <c r="F494" i="5"/>
  <c r="E494" i="5"/>
  <c r="H493" i="5"/>
  <c r="G493" i="5"/>
  <c r="F493" i="5"/>
  <c r="E493" i="5"/>
  <c r="H492" i="5"/>
  <c r="G492" i="5"/>
  <c r="F492" i="5"/>
  <c r="E492" i="5"/>
  <c r="H491" i="5"/>
  <c r="G491" i="5"/>
  <c r="F491" i="5"/>
  <c r="E491" i="5"/>
  <c r="H490" i="5"/>
  <c r="G490" i="5"/>
  <c r="F490" i="5"/>
  <c r="E490" i="5"/>
  <c r="H489" i="5"/>
  <c r="G489" i="5"/>
  <c r="F489" i="5"/>
  <c r="E489" i="5"/>
  <c r="H488" i="5"/>
  <c r="G488" i="5"/>
  <c r="F488" i="5"/>
  <c r="E488" i="5"/>
  <c r="H487" i="5"/>
  <c r="G487" i="5"/>
  <c r="F487" i="5"/>
  <c r="E487" i="5"/>
  <c r="H486" i="5"/>
  <c r="G486" i="5"/>
  <c r="F486" i="5"/>
  <c r="E486" i="5"/>
  <c r="H485" i="5"/>
  <c r="G485" i="5"/>
  <c r="F485" i="5"/>
  <c r="E485" i="5"/>
  <c r="H484" i="5"/>
  <c r="G484" i="5"/>
  <c r="F484" i="5"/>
  <c r="E484" i="5"/>
  <c r="H483" i="5"/>
  <c r="G483" i="5"/>
  <c r="F483" i="5"/>
  <c r="E483" i="5"/>
  <c r="H482" i="5"/>
  <c r="G482" i="5"/>
  <c r="F482" i="5"/>
  <c r="E482" i="5"/>
  <c r="H481" i="5"/>
  <c r="G481" i="5"/>
  <c r="F481" i="5"/>
  <c r="E481" i="5"/>
  <c r="H480" i="5"/>
  <c r="G480" i="5"/>
  <c r="F480" i="5"/>
  <c r="E480" i="5"/>
  <c r="H479" i="5"/>
  <c r="G479" i="5"/>
  <c r="F479" i="5"/>
  <c r="E479" i="5"/>
  <c r="H478" i="5"/>
  <c r="G478" i="5"/>
  <c r="F478" i="5"/>
  <c r="E478" i="5"/>
  <c r="H477" i="5"/>
  <c r="G477" i="5"/>
  <c r="F477" i="5"/>
  <c r="E477" i="5"/>
  <c r="H476" i="5"/>
  <c r="G476" i="5"/>
  <c r="F476" i="5"/>
  <c r="E476" i="5"/>
  <c r="H475" i="5"/>
  <c r="G475" i="5"/>
  <c r="F475" i="5"/>
  <c r="E475" i="5"/>
  <c r="H474" i="5"/>
  <c r="G474" i="5"/>
  <c r="F474" i="5"/>
  <c r="E474" i="5"/>
  <c r="H473" i="5"/>
  <c r="G473" i="5"/>
  <c r="F473" i="5"/>
  <c r="E473" i="5"/>
  <c r="H472" i="5"/>
  <c r="G472" i="5"/>
  <c r="F472" i="5"/>
  <c r="E472" i="5"/>
  <c r="H471" i="5"/>
  <c r="G471" i="5"/>
  <c r="F471" i="5"/>
  <c r="E471" i="5"/>
  <c r="H470" i="5"/>
  <c r="G470" i="5"/>
  <c r="F470" i="5"/>
  <c r="E470" i="5"/>
  <c r="H469" i="5"/>
  <c r="G469" i="5"/>
  <c r="F469" i="5"/>
  <c r="E469" i="5"/>
  <c r="H468" i="5"/>
  <c r="G468" i="5"/>
  <c r="F468" i="5"/>
  <c r="E468" i="5"/>
  <c r="H467" i="5"/>
  <c r="G467" i="5"/>
  <c r="F467" i="5"/>
  <c r="E467" i="5"/>
  <c r="H466" i="5"/>
  <c r="G466" i="5"/>
  <c r="F466" i="5"/>
  <c r="E466" i="5"/>
  <c r="H465" i="5"/>
  <c r="G465" i="5"/>
  <c r="F465" i="5"/>
  <c r="E465" i="5"/>
  <c r="H464" i="5"/>
  <c r="G464" i="5"/>
  <c r="F464" i="5"/>
  <c r="E464" i="5"/>
  <c r="H463" i="5"/>
  <c r="G463" i="5"/>
  <c r="F463" i="5"/>
  <c r="E463" i="5"/>
  <c r="H462" i="5"/>
  <c r="G462" i="5"/>
  <c r="F462" i="5"/>
  <c r="E462" i="5"/>
  <c r="H461" i="5"/>
  <c r="G461" i="5"/>
  <c r="F461" i="5"/>
  <c r="E461" i="5"/>
  <c r="H460" i="5"/>
  <c r="G460" i="5"/>
  <c r="F460" i="5"/>
  <c r="E460" i="5"/>
  <c r="H459" i="5"/>
  <c r="G459" i="5"/>
  <c r="F459" i="5"/>
  <c r="E459" i="5"/>
  <c r="H458" i="5"/>
  <c r="G458" i="5"/>
  <c r="F458" i="5"/>
  <c r="E458" i="5"/>
  <c r="H457" i="5"/>
  <c r="G457" i="5"/>
  <c r="F457" i="5"/>
  <c r="E457" i="5"/>
  <c r="H456" i="5"/>
  <c r="G456" i="5"/>
  <c r="F456" i="5"/>
  <c r="E456" i="5"/>
  <c r="H455" i="5"/>
  <c r="G455" i="5"/>
  <c r="F455" i="5"/>
  <c r="E455" i="5"/>
  <c r="H454" i="5"/>
  <c r="G454" i="5"/>
  <c r="F454" i="5"/>
  <c r="E454" i="5"/>
  <c r="H453" i="5"/>
  <c r="G453" i="5"/>
  <c r="F453" i="5"/>
  <c r="E453" i="5"/>
  <c r="H452" i="5"/>
  <c r="G452" i="5"/>
  <c r="F452" i="5"/>
  <c r="E452" i="5"/>
  <c r="H451" i="5"/>
  <c r="G451" i="5"/>
  <c r="F451" i="5"/>
  <c r="E451" i="5"/>
  <c r="H450" i="5"/>
  <c r="G450" i="5"/>
  <c r="F450" i="5"/>
  <c r="E450" i="5"/>
  <c r="H449" i="5"/>
  <c r="G449" i="5"/>
  <c r="F449" i="5"/>
  <c r="E449" i="5"/>
  <c r="H448" i="5"/>
  <c r="G448" i="5"/>
  <c r="F448" i="5"/>
  <c r="E448" i="5"/>
  <c r="H447" i="5"/>
  <c r="G447" i="5"/>
  <c r="F447" i="5"/>
  <c r="E447" i="5"/>
  <c r="H446" i="5"/>
  <c r="G446" i="5"/>
  <c r="F446" i="5"/>
  <c r="E446" i="5"/>
  <c r="H445" i="5"/>
  <c r="G445" i="5"/>
  <c r="F445" i="5"/>
  <c r="E445" i="5"/>
  <c r="H444" i="5"/>
  <c r="G444" i="5"/>
  <c r="F444" i="5"/>
  <c r="E444" i="5"/>
  <c r="H443" i="5"/>
  <c r="G443" i="5"/>
  <c r="F443" i="5"/>
  <c r="E443" i="5"/>
  <c r="H442" i="5"/>
  <c r="G442" i="5"/>
  <c r="F442" i="5"/>
  <c r="E442" i="5"/>
  <c r="H441" i="5"/>
  <c r="G441" i="5"/>
  <c r="F441" i="5"/>
  <c r="E441" i="5"/>
  <c r="H440" i="5"/>
  <c r="G440" i="5"/>
  <c r="F440" i="5"/>
  <c r="E440" i="5"/>
  <c r="H439" i="5"/>
  <c r="G439" i="5"/>
  <c r="F439" i="5"/>
  <c r="E439" i="5"/>
  <c r="H438" i="5"/>
  <c r="G438" i="5"/>
  <c r="F438" i="5"/>
  <c r="E438" i="5"/>
  <c r="H437" i="5"/>
  <c r="G437" i="5"/>
  <c r="F437" i="5"/>
  <c r="E437" i="5"/>
  <c r="H436" i="5"/>
  <c r="G436" i="5"/>
  <c r="F436" i="5"/>
  <c r="E436" i="5"/>
  <c r="H435" i="5"/>
  <c r="G435" i="5"/>
  <c r="F435" i="5"/>
  <c r="E435" i="5"/>
  <c r="H434" i="5"/>
  <c r="G434" i="5"/>
  <c r="F434" i="5"/>
  <c r="E434" i="5"/>
  <c r="H433" i="5"/>
  <c r="G433" i="5"/>
  <c r="F433" i="5"/>
  <c r="E433" i="5"/>
  <c r="H432" i="5"/>
  <c r="G432" i="5"/>
  <c r="F432" i="5"/>
  <c r="E432" i="5"/>
  <c r="H431" i="5"/>
  <c r="G431" i="5"/>
  <c r="F431" i="5"/>
  <c r="E431" i="5"/>
  <c r="H430" i="5"/>
  <c r="G430" i="5"/>
  <c r="F430" i="5"/>
  <c r="E430" i="5"/>
  <c r="H429" i="5"/>
  <c r="G429" i="5"/>
  <c r="F429" i="5"/>
  <c r="E429" i="5"/>
  <c r="H428" i="5"/>
  <c r="G428" i="5"/>
  <c r="F428" i="5"/>
  <c r="E428" i="5"/>
  <c r="H427" i="5"/>
  <c r="G427" i="5"/>
  <c r="F427" i="5"/>
  <c r="E427" i="5"/>
  <c r="H426" i="5"/>
  <c r="G426" i="5"/>
  <c r="F426" i="5"/>
  <c r="E426" i="5"/>
  <c r="H425" i="5"/>
  <c r="G425" i="5"/>
  <c r="F425" i="5"/>
  <c r="E425" i="5"/>
  <c r="H424" i="5"/>
  <c r="G424" i="5"/>
  <c r="F424" i="5"/>
  <c r="E424" i="5"/>
  <c r="H423" i="5"/>
  <c r="G423" i="5"/>
  <c r="F423" i="5"/>
  <c r="E423" i="5"/>
  <c r="H422" i="5"/>
  <c r="G422" i="5"/>
  <c r="F422" i="5"/>
  <c r="E422" i="5"/>
  <c r="H421" i="5"/>
  <c r="G421" i="5"/>
  <c r="F421" i="5"/>
  <c r="E421" i="5"/>
  <c r="H420" i="5"/>
  <c r="G420" i="5"/>
  <c r="F420" i="5"/>
  <c r="E420" i="5"/>
  <c r="H419" i="5"/>
  <c r="G419" i="5"/>
  <c r="F419" i="5"/>
  <c r="E419" i="5"/>
  <c r="H418" i="5"/>
  <c r="G418" i="5"/>
  <c r="F418" i="5"/>
  <c r="E418" i="5"/>
  <c r="H417" i="5"/>
  <c r="G417" i="5"/>
  <c r="F417" i="5"/>
  <c r="E417" i="5"/>
  <c r="H416" i="5"/>
  <c r="G416" i="5"/>
  <c r="F416" i="5"/>
  <c r="E416" i="5"/>
  <c r="H415" i="5"/>
  <c r="G415" i="5"/>
  <c r="F415" i="5"/>
  <c r="E415" i="5"/>
  <c r="H414" i="5"/>
  <c r="G414" i="5"/>
  <c r="F414" i="5"/>
  <c r="E414" i="5"/>
  <c r="H413" i="5"/>
  <c r="G413" i="5"/>
  <c r="F413" i="5"/>
  <c r="E413" i="5"/>
  <c r="H412" i="5"/>
  <c r="G412" i="5"/>
  <c r="F412" i="5"/>
  <c r="E412" i="5"/>
  <c r="H411" i="5"/>
  <c r="G411" i="5"/>
  <c r="F411" i="5"/>
  <c r="E411" i="5"/>
  <c r="H410" i="5"/>
  <c r="G410" i="5"/>
  <c r="F410" i="5"/>
  <c r="E410" i="5"/>
  <c r="H409" i="5"/>
  <c r="G409" i="5"/>
  <c r="F409" i="5"/>
  <c r="E409" i="5"/>
  <c r="H408" i="5"/>
  <c r="G408" i="5"/>
  <c r="F408" i="5"/>
  <c r="E408" i="5"/>
  <c r="H407" i="5"/>
  <c r="G407" i="5"/>
  <c r="F407" i="5"/>
  <c r="E407" i="5"/>
  <c r="H406" i="5"/>
  <c r="G406" i="5"/>
  <c r="F406" i="5"/>
  <c r="E406" i="5"/>
  <c r="H405" i="5"/>
  <c r="G405" i="5"/>
  <c r="F405" i="5"/>
  <c r="E405" i="5"/>
  <c r="H404" i="5"/>
  <c r="G404" i="5"/>
  <c r="F404" i="5"/>
  <c r="E404" i="5"/>
  <c r="H403" i="5"/>
  <c r="G403" i="5"/>
  <c r="F403" i="5"/>
  <c r="E403" i="5"/>
  <c r="H402" i="5"/>
  <c r="G402" i="5"/>
  <c r="F402" i="5"/>
  <c r="E402" i="5"/>
  <c r="H401" i="5"/>
  <c r="G401" i="5"/>
  <c r="F401" i="5"/>
  <c r="E401" i="5"/>
  <c r="H400" i="5"/>
  <c r="G400" i="5"/>
  <c r="F400" i="5"/>
  <c r="E400" i="5"/>
  <c r="H399" i="5"/>
  <c r="G399" i="5"/>
  <c r="F399" i="5"/>
  <c r="E399" i="5"/>
  <c r="H398" i="5"/>
  <c r="G398" i="5"/>
  <c r="F398" i="5"/>
  <c r="E398" i="5"/>
  <c r="H397" i="5"/>
  <c r="G397" i="5"/>
  <c r="F397" i="5"/>
  <c r="E397" i="5"/>
  <c r="H396" i="5"/>
  <c r="G396" i="5"/>
  <c r="F396" i="5"/>
  <c r="E396" i="5"/>
  <c r="H395" i="5"/>
  <c r="G395" i="5"/>
  <c r="F395" i="5"/>
  <c r="E395" i="5"/>
  <c r="H394" i="5"/>
  <c r="G394" i="5"/>
  <c r="F394" i="5"/>
  <c r="E394" i="5"/>
  <c r="H393" i="5"/>
  <c r="G393" i="5"/>
  <c r="F393" i="5"/>
  <c r="E393" i="5"/>
  <c r="H392" i="5"/>
  <c r="G392" i="5"/>
  <c r="F392" i="5"/>
  <c r="E392" i="5"/>
  <c r="H391" i="5"/>
  <c r="G391" i="5"/>
  <c r="F391" i="5"/>
  <c r="E391" i="5"/>
  <c r="H390" i="5"/>
  <c r="G390" i="5"/>
  <c r="F390" i="5"/>
  <c r="E390" i="5"/>
  <c r="H389" i="5"/>
  <c r="G389" i="5"/>
  <c r="F389" i="5"/>
  <c r="E389" i="5"/>
  <c r="H388" i="5"/>
  <c r="G388" i="5"/>
  <c r="F388" i="5"/>
  <c r="E388" i="5"/>
  <c r="H387" i="5"/>
  <c r="G387" i="5"/>
  <c r="F387" i="5"/>
  <c r="E387" i="5"/>
  <c r="H386" i="5"/>
  <c r="G386" i="5"/>
  <c r="F386" i="5"/>
  <c r="E386" i="5"/>
  <c r="H385" i="5"/>
  <c r="G385" i="5"/>
  <c r="F385" i="5"/>
  <c r="E385" i="5"/>
  <c r="H384" i="5"/>
  <c r="G384" i="5"/>
  <c r="F384" i="5"/>
  <c r="E384" i="5"/>
  <c r="H383" i="5"/>
  <c r="G383" i="5"/>
  <c r="F383" i="5"/>
  <c r="E383" i="5"/>
  <c r="H382" i="5"/>
  <c r="G382" i="5"/>
  <c r="F382" i="5"/>
  <c r="E382" i="5"/>
  <c r="H381" i="5"/>
  <c r="G381" i="5"/>
  <c r="F381" i="5"/>
  <c r="E381" i="5"/>
  <c r="H380" i="5"/>
  <c r="G380" i="5"/>
  <c r="F380" i="5"/>
  <c r="E380" i="5"/>
  <c r="H379" i="5"/>
  <c r="G379" i="5"/>
  <c r="F379" i="5"/>
  <c r="E379" i="5"/>
  <c r="H378" i="5"/>
  <c r="G378" i="5"/>
  <c r="F378" i="5"/>
  <c r="E378" i="5"/>
  <c r="H377" i="5"/>
  <c r="G377" i="5"/>
  <c r="F377" i="5"/>
  <c r="E377" i="5"/>
  <c r="H376" i="5"/>
  <c r="G376" i="5"/>
  <c r="F376" i="5"/>
  <c r="E376" i="5"/>
  <c r="H375" i="5"/>
  <c r="G375" i="5"/>
  <c r="F375" i="5"/>
  <c r="E375" i="5"/>
  <c r="H374" i="5"/>
  <c r="G374" i="5"/>
  <c r="F374" i="5"/>
  <c r="E374" i="5"/>
  <c r="H373" i="5"/>
  <c r="G373" i="5"/>
  <c r="F373" i="5"/>
  <c r="E373" i="5"/>
  <c r="H372" i="5"/>
  <c r="G372" i="5"/>
  <c r="F372" i="5"/>
  <c r="E372" i="5"/>
  <c r="H371" i="5"/>
  <c r="G371" i="5"/>
  <c r="F371" i="5"/>
  <c r="E371" i="5"/>
  <c r="H370" i="5"/>
  <c r="G370" i="5"/>
  <c r="F370" i="5"/>
  <c r="E370" i="5"/>
  <c r="H369" i="5"/>
  <c r="G369" i="5"/>
  <c r="F369" i="5"/>
  <c r="E369" i="5"/>
  <c r="H368" i="5"/>
  <c r="G368" i="5"/>
  <c r="F368" i="5"/>
  <c r="E368" i="5"/>
  <c r="H367" i="5"/>
  <c r="G367" i="5"/>
  <c r="F367" i="5"/>
  <c r="E367" i="5"/>
  <c r="H366" i="5"/>
  <c r="G366" i="5"/>
  <c r="F366" i="5"/>
  <c r="E366" i="5"/>
  <c r="H365" i="5"/>
  <c r="G365" i="5"/>
  <c r="F365" i="5"/>
  <c r="E365" i="5"/>
  <c r="H364" i="5"/>
  <c r="G364" i="5"/>
  <c r="F364" i="5"/>
  <c r="E364" i="5"/>
  <c r="H363" i="5"/>
  <c r="G363" i="5"/>
  <c r="F363" i="5"/>
  <c r="E363" i="5"/>
  <c r="H362" i="5"/>
  <c r="G362" i="5"/>
  <c r="F362" i="5"/>
  <c r="E362" i="5"/>
  <c r="H361" i="5"/>
  <c r="G361" i="5"/>
  <c r="F361" i="5"/>
  <c r="E361" i="5"/>
  <c r="H360" i="5"/>
  <c r="G360" i="5"/>
  <c r="F360" i="5"/>
  <c r="E360" i="5"/>
  <c r="H359" i="5"/>
  <c r="G359" i="5"/>
  <c r="F359" i="5"/>
  <c r="E359" i="5"/>
  <c r="H358" i="5"/>
  <c r="G358" i="5"/>
  <c r="F358" i="5"/>
  <c r="E358" i="5"/>
  <c r="H357" i="5"/>
  <c r="G357" i="5"/>
  <c r="F357" i="5"/>
  <c r="E357" i="5"/>
  <c r="H356" i="5"/>
  <c r="G356" i="5"/>
  <c r="F356" i="5"/>
  <c r="E356" i="5"/>
  <c r="H355" i="5"/>
  <c r="G355" i="5"/>
  <c r="F355" i="5"/>
  <c r="E355" i="5"/>
  <c r="H354" i="5"/>
  <c r="G354" i="5"/>
  <c r="F354" i="5"/>
  <c r="E354" i="5"/>
  <c r="H353" i="5"/>
  <c r="G353" i="5"/>
  <c r="F353" i="5"/>
  <c r="E353" i="5"/>
  <c r="H352" i="5"/>
  <c r="G352" i="5"/>
  <c r="F352" i="5"/>
  <c r="E352" i="5"/>
  <c r="H351" i="5"/>
  <c r="G351" i="5"/>
  <c r="F351" i="5"/>
  <c r="E351" i="5"/>
  <c r="H350" i="5"/>
  <c r="G350" i="5"/>
  <c r="F350" i="5"/>
  <c r="E350" i="5"/>
  <c r="H349" i="5"/>
  <c r="G349" i="5"/>
  <c r="F349" i="5"/>
  <c r="E349" i="5"/>
  <c r="H348" i="5"/>
  <c r="G348" i="5"/>
  <c r="F348" i="5"/>
  <c r="E348" i="5"/>
  <c r="H347" i="5"/>
  <c r="G347" i="5"/>
  <c r="F347" i="5"/>
  <c r="E347" i="5"/>
  <c r="H346" i="5"/>
  <c r="G346" i="5"/>
  <c r="F346" i="5"/>
  <c r="E346" i="5"/>
  <c r="H345" i="5"/>
  <c r="G345" i="5"/>
  <c r="F345" i="5"/>
  <c r="E345" i="5"/>
  <c r="H344" i="5"/>
  <c r="G344" i="5"/>
  <c r="F344" i="5"/>
  <c r="E344" i="5"/>
  <c r="H343" i="5"/>
  <c r="G343" i="5"/>
  <c r="F343" i="5"/>
  <c r="E343" i="5"/>
  <c r="H342" i="5"/>
  <c r="G342" i="5"/>
  <c r="F342" i="5"/>
  <c r="E342" i="5"/>
  <c r="H341" i="5"/>
  <c r="G341" i="5"/>
  <c r="F341" i="5"/>
  <c r="E341" i="5"/>
  <c r="H340" i="5"/>
  <c r="G340" i="5"/>
  <c r="F340" i="5"/>
  <c r="E340" i="5"/>
  <c r="H339" i="5"/>
  <c r="G339" i="5"/>
  <c r="F339" i="5"/>
  <c r="E339" i="5"/>
  <c r="H338" i="5"/>
  <c r="G338" i="5"/>
  <c r="F338" i="5"/>
  <c r="E338" i="5"/>
  <c r="H337" i="5"/>
  <c r="G337" i="5"/>
  <c r="F337" i="5"/>
  <c r="E337" i="5"/>
  <c r="H336" i="5"/>
  <c r="G336" i="5"/>
  <c r="F336" i="5"/>
  <c r="E336" i="5"/>
  <c r="H335" i="5"/>
  <c r="G335" i="5"/>
  <c r="F335" i="5"/>
  <c r="E335" i="5"/>
  <c r="H334" i="5"/>
  <c r="G334" i="5"/>
  <c r="F334" i="5"/>
  <c r="E334" i="5"/>
  <c r="H333" i="5"/>
  <c r="G333" i="5"/>
  <c r="F333" i="5"/>
  <c r="E333" i="5"/>
  <c r="H332" i="5"/>
  <c r="G332" i="5"/>
  <c r="F332" i="5"/>
  <c r="E332" i="5"/>
  <c r="H331" i="5"/>
  <c r="G331" i="5"/>
  <c r="F331" i="5"/>
  <c r="E331" i="5"/>
  <c r="H330" i="5"/>
  <c r="G330" i="5"/>
  <c r="F330" i="5"/>
  <c r="E330" i="5"/>
  <c r="H329" i="5"/>
  <c r="G329" i="5"/>
  <c r="F329" i="5"/>
  <c r="E329" i="5"/>
  <c r="H328" i="5"/>
  <c r="G328" i="5"/>
  <c r="F328" i="5"/>
  <c r="E328" i="5"/>
  <c r="H327" i="5"/>
  <c r="G327" i="5"/>
  <c r="F327" i="5"/>
  <c r="E327" i="5"/>
  <c r="H326" i="5"/>
  <c r="G326" i="5"/>
  <c r="F326" i="5"/>
  <c r="E326" i="5"/>
  <c r="H325" i="5"/>
  <c r="G325" i="5"/>
  <c r="F325" i="5"/>
  <c r="E325" i="5"/>
  <c r="H324" i="5"/>
  <c r="G324" i="5"/>
  <c r="F324" i="5"/>
  <c r="E324" i="5"/>
  <c r="H323" i="5"/>
  <c r="G323" i="5"/>
  <c r="F323" i="5"/>
  <c r="E323" i="5"/>
  <c r="H322" i="5"/>
  <c r="G322" i="5"/>
  <c r="F322" i="5"/>
  <c r="E322" i="5"/>
  <c r="H321" i="5"/>
  <c r="G321" i="5"/>
  <c r="F321" i="5"/>
  <c r="E321" i="5"/>
  <c r="H320" i="5"/>
  <c r="G320" i="5"/>
  <c r="F320" i="5"/>
  <c r="E320" i="5"/>
  <c r="H319" i="5"/>
  <c r="G319" i="5"/>
  <c r="F319" i="5"/>
  <c r="E319" i="5"/>
  <c r="H318" i="5"/>
  <c r="G318" i="5"/>
  <c r="F318" i="5"/>
  <c r="E318" i="5"/>
  <c r="H317" i="5"/>
  <c r="G317" i="5"/>
  <c r="F317" i="5"/>
  <c r="E317" i="5"/>
  <c r="H316" i="5"/>
  <c r="G316" i="5"/>
  <c r="F316" i="5"/>
  <c r="E316" i="5"/>
  <c r="H315" i="5"/>
  <c r="G315" i="5"/>
  <c r="F315" i="5"/>
  <c r="E315" i="5"/>
  <c r="H314" i="5"/>
  <c r="G314" i="5"/>
  <c r="F314" i="5"/>
  <c r="E314" i="5"/>
  <c r="H313" i="5"/>
  <c r="G313" i="5"/>
  <c r="F313" i="5"/>
  <c r="E313" i="5"/>
  <c r="H312" i="5"/>
  <c r="G312" i="5"/>
  <c r="F312" i="5"/>
  <c r="E312" i="5"/>
  <c r="H311" i="5"/>
  <c r="G311" i="5"/>
  <c r="F311" i="5"/>
  <c r="E311" i="5"/>
  <c r="H310" i="5"/>
  <c r="G310" i="5"/>
  <c r="F310" i="5"/>
  <c r="E310" i="5"/>
  <c r="H309" i="5"/>
  <c r="G309" i="5"/>
  <c r="F309" i="5"/>
  <c r="E309" i="5"/>
  <c r="H308" i="5"/>
  <c r="G308" i="5"/>
  <c r="F308" i="5"/>
  <c r="E308" i="5"/>
  <c r="H307" i="5"/>
  <c r="G307" i="5"/>
  <c r="F307" i="5"/>
  <c r="E307" i="5"/>
  <c r="H306" i="5"/>
  <c r="G306" i="5"/>
  <c r="F306" i="5"/>
  <c r="E306" i="5"/>
  <c r="H305" i="5"/>
  <c r="G305" i="5"/>
  <c r="F305" i="5"/>
  <c r="E305" i="5"/>
  <c r="H304" i="5"/>
  <c r="G304" i="5"/>
  <c r="F304" i="5"/>
  <c r="E304" i="5"/>
  <c r="H303" i="5"/>
  <c r="G303" i="5"/>
  <c r="F303" i="5"/>
  <c r="E303" i="5"/>
  <c r="H302" i="5"/>
  <c r="G302" i="5"/>
  <c r="F302" i="5"/>
  <c r="E302" i="5"/>
  <c r="H301" i="5"/>
  <c r="G301" i="5"/>
  <c r="F301" i="5"/>
  <c r="E301" i="5"/>
  <c r="H300" i="5"/>
  <c r="G300" i="5"/>
  <c r="F300" i="5"/>
  <c r="E300" i="5"/>
  <c r="H299" i="5"/>
  <c r="G299" i="5"/>
  <c r="F299" i="5"/>
  <c r="E299" i="5"/>
  <c r="H298" i="5"/>
  <c r="G298" i="5"/>
  <c r="F298" i="5"/>
  <c r="E298" i="5"/>
  <c r="H297" i="5"/>
  <c r="G297" i="5"/>
  <c r="F297" i="5"/>
  <c r="E297" i="5"/>
  <c r="H296" i="5"/>
  <c r="G296" i="5"/>
  <c r="F296" i="5"/>
  <c r="E296" i="5"/>
  <c r="H295" i="5"/>
  <c r="G295" i="5"/>
  <c r="F295" i="5"/>
  <c r="E295" i="5"/>
  <c r="H294" i="5"/>
  <c r="G294" i="5"/>
  <c r="F294" i="5"/>
  <c r="E294" i="5"/>
  <c r="H293" i="5"/>
  <c r="G293" i="5"/>
  <c r="F293" i="5"/>
  <c r="E293" i="5"/>
  <c r="H292" i="5"/>
  <c r="G292" i="5"/>
  <c r="F292" i="5"/>
  <c r="E292" i="5"/>
  <c r="H291" i="5"/>
  <c r="G291" i="5"/>
  <c r="F291" i="5"/>
  <c r="E291" i="5"/>
  <c r="H290" i="5"/>
  <c r="G290" i="5"/>
  <c r="F290" i="5"/>
  <c r="E290" i="5"/>
  <c r="H289" i="5"/>
  <c r="G289" i="5"/>
  <c r="F289" i="5"/>
  <c r="E289" i="5"/>
  <c r="H288" i="5"/>
  <c r="G288" i="5"/>
  <c r="F288" i="5"/>
  <c r="E288" i="5"/>
  <c r="H287" i="5"/>
  <c r="G287" i="5"/>
  <c r="F287" i="5"/>
  <c r="E287" i="5"/>
  <c r="H286" i="5"/>
  <c r="G286" i="5"/>
  <c r="F286" i="5"/>
  <c r="E286" i="5"/>
  <c r="H285" i="5"/>
  <c r="G285" i="5"/>
  <c r="F285" i="5"/>
  <c r="E285" i="5"/>
  <c r="H284" i="5"/>
  <c r="G284" i="5"/>
  <c r="F284" i="5"/>
  <c r="E284" i="5"/>
  <c r="H283" i="5"/>
  <c r="G283" i="5"/>
  <c r="F283" i="5"/>
  <c r="E283" i="5"/>
  <c r="H282" i="5"/>
  <c r="G282" i="5"/>
  <c r="F282" i="5"/>
  <c r="E282" i="5"/>
  <c r="H281" i="5"/>
  <c r="G281" i="5"/>
  <c r="F281" i="5"/>
  <c r="E281" i="5"/>
  <c r="H280" i="5"/>
  <c r="G280" i="5"/>
  <c r="F280" i="5"/>
  <c r="E280" i="5"/>
  <c r="H279" i="5"/>
  <c r="G279" i="5"/>
  <c r="F279" i="5"/>
  <c r="E279" i="5"/>
  <c r="H278" i="5"/>
  <c r="G278" i="5"/>
  <c r="F278" i="5"/>
  <c r="E278" i="5"/>
  <c r="H277" i="5"/>
  <c r="G277" i="5"/>
  <c r="F277" i="5"/>
  <c r="E277" i="5"/>
  <c r="H276" i="5"/>
  <c r="G276" i="5"/>
  <c r="F276" i="5"/>
  <c r="E276" i="5"/>
  <c r="H275" i="5"/>
  <c r="G275" i="5"/>
  <c r="F275" i="5"/>
  <c r="E275" i="5"/>
  <c r="H274" i="5"/>
  <c r="G274" i="5"/>
  <c r="F274" i="5"/>
  <c r="E274" i="5"/>
  <c r="H273" i="5"/>
  <c r="G273" i="5"/>
  <c r="F273" i="5"/>
  <c r="E273" i="5"/>
  <c r="H272" i="5"/>
  <c r="G272" i="5"/>
  <c r="F272" i="5"/>
  <c r="E272" i="5"/>
  <c r="H271" i="5"/>
  <c r="G271" i="5"/>
  <c r="F271" i="5"/>
  <c r="E271" i="5"/>
  <c r="H270" i="5"/>
  <c r="G270" i="5"/>
  <c r="F270" i="5"/>
  <c r="E270" i="5"/>
  <c r="H269" i="5"/>
  <c r="G269" i="5"/>
  <c r="F269" i="5"/>
  <c r="E269" i="5"/>
  <c r="H268" i="5"/>
  <c r="G268" i="5"/>
  <c r="F268" i="5"/>
  <c r="E268" i="5"/>
  <c r="H267" i="5"/>
  <c r="G267" i="5"/>
  <c r="F267" i="5"/>
  <c r="E267" i="5"/>
  <c r="H266" i="5"/>
  <c r="G266" i="5"/>
  <c r="F266" i="5"/>
  <c r="E266" i="5"/>
  <c r="H265" i="5"/>
  <c r="G265" i="5"/>
  <c r="F265" i="5"/>
  <c r="E265" i="5"/>
  <c r="H264" i="5"/>
  <c r="G264" i="5"/>
  <c r="F264" i="5"/>
  <c r="E264" i="5"/>
  <c r="H263" i="5"/>
  <c r="G263" i="5"/>
  <c r="F263" i="5"/>
  <c r="E263" i="5"/>
  <c r="H262" i="5"/>
  <c r="G262" i="5"/>
  <c r="F262" i="5"/>
  <c r="E262" i="5"/>
  <c r="H261" i="5"/>
  <c r="G261" i="5"/>
  <c r="F261" i="5"/>
  <c r="E261" i="5"/>
  <c r="H260" i="5"/>
  <c r="G260" i="5"/>
  <c r="F260" i="5"/>
  <c r="E260" i="5"/>
  <c r="H259" i="5"/>
  <c r="G259" i="5"/>
  <c r="F259" i="5"/>
  <c r="E259" i="5"/>
  <c r="H258" i="5"/>
  <c r="G258" i="5"/>
  <c r="F258" i="5"/>
  <c r="E258" i="5"/>
  <c r="H257" i="5"/>
  <c r="G257" i="5"/>
  <c r="F257" i="5"/>
  <c r="E257" i="5"/>
  <c r="H256" i="5"/>
  <c r="G256" i="5"/>
  <c r="F256" i="5"/>
  <c r="E256" i="5"/>
  <c r="H255" i="5"/>
  <c r="G255" i="5"/>
  <c r="F255" i="5"/>
  <c r="E255" i="5"/>
  <c r="H254" i="5"/>
  <c r="G254" i="5"/>
  <c r="F254" i="5"/>
  <c r="E254" i="5"/>
  <c r="H253" i="5"/>
  <c r="G253" i="5"/>
  <c r="F253" i="5"/>
  <c r="E253" i="5"/>
  <c r="H252" i="5"/>
  <c r="G252" i="5"/>
  <c r="F252" i="5"/>
  <c r="E252" i="5"/>
  <c r="H251" i="5"/>
  <c r="G251" i="5"/>
  <c r="F251" i="5"/>
  <c r="E251" i="5"/>
  <c r="H250" i="5"/>
  <c r="G250" i="5"/>
  <c r="F250" i="5"/>
  <c r="E250" i="5"/>
  <c r="H249" i="5"/>
  <c r="G249" i="5"/>
  <c r="F249" i="5"/>
  <c r="E249" i="5"/>
  <c r="H248" i="5"/>
  <c r="G248" i="5"/>
  <c r="F248" i="5"/>
  <c r="E248" i="5"/>
  <c r="H247" i="5"/>
  <c r="G247" i="5"/>
  <c r="F247" i="5"/>
  <c r="E247" i="5"/>
  <c r="H246" i="5"/>
  <c r="G246" i="5"/>
  <c r="F246" i="5"/>
  <c r="E246" i="5"/>
  <c r="H245" i="5"/>
  <c r="G245" i="5"/>
  <c r="F245" i="5"/>
  <c r="E245" i="5"/>
  <c r="H244" i="5"/>
  <c r="G244" i="5"/>
  <c r="F244" i="5"/>
  <c r="E244" i="5"/>
  <c r="H243" i="5"/>
  <c r="G243" i="5"/>
  <c r="F243" i="5"/>
  <c r="E243" i="5"/>
  <c r="H242" i="5"/>
  <c r="G242" i="5"/>
  <c r="F242" i="5"/>
  <c r="E242" i="5"/>
  <c r="H241" i="5"/>
  <c r="G241" i="5"/>
  <c r="F241" i="5"/>
  <c r="E241" i="5"/>
  <c r="H240" i="5"/>
  <c r="G240" i="5"/>
  <c r="F240" i="5"/>
  <c r="E240" i="5"/>
  <c r="H239" i="5"/>
  <c r="G239" i="5"/>
  <c r="F239" i="5"/>
  <c r="E239" i="5"/>
  <c r="H238" i="5"/>
  <c r="G238" i="5"/>
  <c r="F238" i="5"/>
  <c r="E238" i="5"/>
  <c r="H237" i="5"/>
  <c r="G237" i="5"/>
  <c r="F237" i="5"/>
  <c r="E237" i="5"/>
  <c r="H236" i="5"/>
  <c r="G236" i="5"/>
  <c r="F236" i="5"/>
  <c r="E236" i="5"/>
  <c r="H235" i="5"/>
  <c r="G235" i="5"/>
  <c r="F235" i="5"/>
  <c r="E235" i="5"/>
  <c r="H234" i="5"/>
  <c r="G234" i="5"/>
  <c r="F234" i="5"/>
  <c r="E234" i="5"/>
  <c r="H233" i="5"/>
  <c r="G233" i="5"/>
  <c r="F233" i="5"/>
  <c r="E233" i="5"/>
  <c r="H232" i="5"/>
  <c r="G232" i="5"/>
  <c r="F232" i="5"/>
  <c r="E232" i="5"/>
  <c r="H231" i="5"/>
  <c r="G231" i="5"/>
  <c r="F231" i="5"/>
  <c r="E231" i="5"/>
  <c r="H230" i="5"/>
  <c r="G230" i="5"/>
  <c r="F230" i="5"/>
  <c r="E230" i="5"/>
  <c r="H229" i="5"/>
  <c r="G229" i="5"/>
  <c r="F229" i="5"/>
  <c r="E229" i="5"/>
  <c r="H228" i="5"/>
  <c r="G228" i="5"/>
  <c r="F228" i="5"/>
  <c r="E228" i="5"/>
  <c r="H227" i="5"/>
  <c r="G227" i="5"/>
  <c r="F227" i="5"/>
  <c r="E227" i="5"/>
  <c r="H226" i="5"/>
  <c r="G226" i="5"/>
  <c r="F226" i="5"/>
  <c r="E226" i="5"/>
  <c r="H225" i="5"/>
  <c r="G225" i="5"/>
  <c r="F225" i="5"/>
  <c r="E225" i="5"/>
  <c r="H224" i="5"/>
  <c r="G224" i="5"/>
  <c r="F224" i="5"/>
  <c r="E224" i="5"/>
  <c r="H223" i="5"/>
  <c r="G223" i="5"/>
  <c r="F223" i="5"/>
  <c r="E223" i="5"/>
  <c r="H222" i="5"/>
  <c r="G222" i="5"/>
  <c r="F222" i="5"/>
  <c r="E222" i="5"/>
  <c r="H221" i="5"/>
  <c r="G221" i="5"/>
  <c r="F221" i="5"/>
  <c r="E221" i="5"/>
  <c r="H220" i="5"/>
  <c r="G220" i="5"/>
  <c r="F220" i="5"/>
  <c r="E220" i="5"/>
  <c r="H219" i="5"/>
  <c r="G219" i="5"/>
  <c r="F219" i="5"/>
  <c r="E219" i="5"/>
  <c r="H218" i="5"/>
  <c r="G218" i="5"/>
  <c r="F218" i="5"/>
  <c r="E218" i="5"/>
  <c r="H217" i="5"/>
  <c r="G217" i="5"/>
  <c r="F217" i="5"/>
  <c r="E217" i="5"/>
  <c r="H216" i="5"/>
  <c r="G216" i="5"/>
  <c r="F216" i="5"/>
  <c r="E216" i="5"/>
  <c r="H215" i="5"/>
  <c r="G215" i="5"/>
  <c r="F215" i="5"/>
  <c r="E215" i="5"/>
  <c r="H214" i="5"/>
  <c r="G214" i="5"/>
  <c r="F214" i="5"/>
  <c r="E214" i="5"/>
  <c r="H213" i="5"/>
  <c r="G213" i="5"/>
  <c r="F213" i="5"/>
  <c r="E213" i="5"/>
  <c r="H212" i="5"/>
  <c r="G212" i="5"/>
  <c r="F212" i="5"/>
  <c r="E212" i="5"/>
  <c r="H211" i="5"/>
  <c r="G211" i="5"/>
  <c r="F211" i="5"/>
  <c r="E211" i="5"/>
  <c r="H210" i="5"/>
  <c r="G210" i="5"/>
  <c r="F210" i="5"/>
  <c r="E210" i="5"/>
  <c r="H209" i="5"/>
  <c r="G209" i="5"/>
  <c r="F209" i="5"/>
  <c r="E209" i="5"/>
  <c r="H208" i="5"/>
  <c r="G208" i="5"/>
  <c r="F208" i="5"/>
  <c r="E208" i="5"/>
  <c r="H207" i="5"/>
  <c r="G207" i="5"/>
  <c r="F207" i="5"/>
  <c r="E207" i="5"/>
  <c r="H206" i="5"/>
  <c r="G206" i="5"/>
  <c r="F206" i="5"/>
  <c r="E206" i="5"/>
  <c r="H205" i="5"/>
  <c r="G205" i="5"/>
  <c r="F205" i="5"/>
  <c r="E205" i="5"/>
  <c r="H204" i="5"/>
  <c r="G204" i="5"/>
  <c r="F204" i="5"/>
  <c r="E204" i="5"/>
  <c r="H203" i="5"/>
  <c r="G203" i="5"/>
  <c r="F203" i="5"/>
  <c r="E203" i="5"/>
  <c r="H202" i="5"/>
  <c r="G202" i="5"/>
  <c r="F202" i="5"/>
  <c r="E202" i="5"/>
  <c r="H201" i="5"/>
  <c r="G201" i="5"/>
  <c r="F201" i="5"/>
  <c r="E201" i="5"/>
  <c r="H200" i="5"/>
  <c r="G200" i="5"/>
  <c r="F200" i="5"/>
  <c r="E200" i="5"/>
  <c r="H199" i="5"/>
  <c r="G199" i="5"/>
  <c r="F199" i="5"/>
  <c r="E199" i="5"/>
  <c r="H198" i="5"/>
  <c r="G198" i="5"/>
  <c r="F198" i="5"/>
  <c r="E198" i="5"/>
  <c r="H197" i="5"/>
  <c r="G197" i="5"/>
  <c r="F197" i="5"/>
  <c r="E197" i="5"/>
  <c r="H196" i="5"/>
  <c r="G196" i="5"/>
  <c r="F196" i="5"/>
  <c r="E196" i="5"/>
  <c r="H195" i="5"/>
  <c r="G195" i="5"/>
  <c r="F195" i="5"/>
  <c r="E195" i="5"/>
  <c r="H194" i="5"/>
  <c r="G194" i="5"/>
  <c r="F194" i="5"/>
  <c r="E194" i="5"/>
  <c r="H193" i="5"/>
  <c r="G193" i="5"/>
  <c r="F193" i="5"/>
  <c r="E193" i="5"/>
  <c r="H192" i="5"/>
  <c r="G192" i="5"/>
  <c r="F192" i="5"/>
  <c r="E192" i="5"/>
  <c r="H191" i="5"/>
  <c r="G191" i="5"/>
  <c r="F191" i="5"/>
  <c r="E191" i="5"/>
  <c r="H190" i="5"/>
  <c r="G190" i="5"/>
  <c r="F190" i="5"/>
  <c r="E190" i="5"/>
  <c r="H189" i="5"/>
  <c r="G189" i="5"/>
  <c r="F189" i="5"/>
  <c r="E189" i="5"/>
  <c r="H188" i="5"/>
  <c r="G188" i="5"/>
  <c r="F188" i="5"/>
  <c r="E188" i="5"/>
  <c r="H187" i="5"/>
  <c r="G187" i="5"/>
  <c r="F187" i="5"/>
  <c r="E187" i="5"/>
  <c r="H186" i="5"/>
  <c r="G186" i="5"/>
  <c r="F186" i="5"/>
  <c r="E186" i="5"/>
  <c r="H185" i="5"/>
  <c r="G185" i="5"/>
  <c r="F185" i="5"/>
  <c r="E185" i="5"/>
  <c r="H184" i="5"/>
  <c r="G184" i="5"/>
  <c r="F184" i="5"/>
  <c r="E184" i="5"/>
  <c r="H183" i="5"/>
  <c r="G183" i="5"/>
  <c r="F183" i="5"/>
  <c r="E183" i="5"/>
  <c r="H182" i="5"/>
  <c r="G182" i="5"/>
  <c r="F182" i="5"/>
  <c r="E182" i="5"/>
  <c r="H181" i="5"/>
  <c r="G181" i="5"/>
  <c r="F181" i="5"/>
  <c r="E181" i="5"/>
  <c r="H180" i="5"/>
  <c r="G180" i="5"/>
  <c r="F180" i="5"/>
  <c r="E180" i="5"/>
  <c r="H179" i="5"/>
  <c r="G179" i="5"/>
  <c r="F179" i="5"/>
  <c r="E179" i="5"/>
  <c r="H178" i="5"/>
  <c r="G178" i="5"/>
  <c r="F178" i="5"/>
  <c r="E178" i="5"/>
  <c r="H177" i="5"/>
  <c r="G177" i="5"/>
  <c r="F177" i="5"/>
  <c r="E177" i="5"/>
  <c r="H176" i="5"/>
  <c r="G176" i="5"/>
  <c r="F176" i="5"/>
  <c r="E176" i="5"/>
  <c r="H175" i="5"/>
  <c r="G175" i="5"/>
  <c r="F175" i="5"/>
  <c r="E175" i="5"/>
  <c r="H174" i="5"/>
  <c r="G174" i="5"/>
  <c r="F174" i="5"/>
  <c r="E174" i="5"/>
  <c r="H173" i="5"/>
  <c r="G173" i="5"/>
  <c r="F173" i="5"/>
  <c r="E173" i="5"/>
  <c r="H172" i="5"/>
  <c r="G172" i="5"/>
  <c r="F172" i="5"/>
  <c r="E172" i="5"/>
  <c r="H171" i="5"/>
  <c r="G171" i="5"/>
  <c r="F171" i="5"/>
  <c r="E171" i="5"/>
  <c r="H170" i="5"/>
  <c r="G170" i="5"/>
  <c r="F170" i="5"/>
  <c r="E170" i="5"/>
  <c r="H169" i="5"/>
  <c r="G169" i="5"/>
  <c r="F169" i="5"/>
  <c r="E169" i="5"/>
  <c r="H168" i="5"/>
  <c r="G168" i="5"/>
  <c r="F168" i="5"/>
  <c r="E168" i="5"/>
  <c r="H167" i="5"/>
  <c r="G167" i="5"/>
  <c r="F167" i="5"/>
  <c r="E167" i="5"/>
  <c r="H166" i="5"/>
  <c r="G166" i="5"/>
  <c r="F166" i="5"/>
  <c r="E166" i="5"/>
  <c r="H165" i="5"/>
  <c r="G165" i="5"/>
  <c r="F165" i="5"/>
  <c r="E165" i="5"/>
  <c r="H164" i="5"/>
  <c r="G164" i="5"/>
  <c r="F164" i="5"/>
  <c r="E164" i="5"/>
  <c r="H163" i="5"/>
  <c r="G163" i="5"/>
  <c r="F163" i="5"/>
  <c r="E163" i="5"/>
  <c r="H162" i="5"/>
  <c r="G162" i="5"/>
  <c r="F162" i="5"/>
  <c r="E162" i="5"/>
  <c r="H161" i="5"/>
  <c r="G161" i="5"/>
  <c r="F161" i="5"/>
  <c r="E161" i="5"/>
  <c r="H160" i="5"/>
  <c r="G160" i="5"/>
  <c r="F160" i="5"/>
  <c r="E160" i="5"/>
  <c r="H159" i="5"/>
  <c r="G159" i="5"/>
  <c r="F159" i="5"/>
  <c r="E159" i="5"/>
  <c r="H158" i="5"/>
  <c r="G158" i="5"/>
  <c r="F158" i="5"/>
  <c r="E158" i="5"/>
  <c r="H157" i="5"/>
  <c r="G157" i="5"/>
  <c r="F157" i="5"/>
  <c r="E157" i="5"/>
  <c r="H156" i="5"/>
  <c r="G156" i="5"/>
  <c r="F156" i="5"/>
  <c r="E156" i="5"/>
  <c r="H155" i="5"/>
  <c r="G155" i="5"/>
  <c r="F155" i="5"/>
  <c r="E155" i="5"/>
  <c r="H154" i="5"/>
  <c r="G154" i="5"/>
  <c r="F154" i="5"/>
  <c r="E154" i="5"/>
  <c r="H153" i="5"/>
  <c r="G153" i="5"/>
  <c r="F153" i="5"/>
  <c r="E153" i="5"/>
  <c r="H152" i="5"/>
  <c r="G152" i="5"/>
  <c r="F152" i="5"/>
  <c r="E152" i="5"/>
  <c r="H151" i="5"/>
  <c r="G151" i="5"/>
  <c r="F151" i="5"/>
  <c r="E151" i="5"/>
  <c r="H150" i="5"/>
  <c r="G150" i="5"/>
  <c r="F150" i="5"/>
  <c r="E150" i="5"/>
  <c r="H149" i="5"/>
  <c r="G149" i="5"/>
  <c r="F149" i="5"/>
  <c r="E149" i="5"/>
  <c r="H148" i="5"/>
  <c r="G148" i="5"/>
  <c r="F148" i="5"/>
  <c r="E148" i="5"/>
  <c r="H147" i="5"/>
  <c r="G147" i="5"/>
  <c r="F147" i="5"/>
  <c r="E147" i="5"/>
  <c r="H146" i="5"/>
  <c r="G146" i="5"/>
  <c r="F146" i="5"/>
  <c r="E146" i="5"/>
  <c r="H145" i="5"/>
  <c r="G145" i="5"/>
  <c r="F145" i="5"/>
  <c r="E145" i="5"/>
  <c r="H144" i="5"/>
  <c r="G144" i="5"/>
  <c r="F144" i="5"/>
  <c r="E144" i="5"/>
  <c r="H143" i="5"/>
  <c r="G143" i="5"/>
  <c r="F143" i="5"/>
  <c r="E143" i="5"/>
  <c r="H142" i="5"/>
  <c r="G142" i="5"/>
  <c r="F142" i="5"/>
  <c r="E142" i="5"/>
  <c r="H141" i="5"/>
  <c r="G141" i="5"/>
  <c r="F141" i="5"/>
  <c r="E141" i="5"/>
  <c r="H140" i="5"/>
  <c r="G140" i="5"/>
  <c r="F140" i="5"/>
  <c r="E140" i="5"/>
  <c r="H139" i="5"/>
  <c r="G139" i="5"/>
  <c r="F139" i="5"/>
  <c r="E139" i="5"/>
  <c r="H138" i="5"/>
  <c r="G138" i="5"/>
  <c r="F138" i="5"/>
  <c r="E138" i="5"/>
  <c r="H137" i="5"/>
  <c r="G137" i="5"/>
  <c r="F137" i="5"/>
  <c r="E137" i="5"/>
  <c r="H136" i="5"/>
  <c r="G136" i="5"/>
  <c r="F136" i="5"/>
  <c r="E136" i="5"/>
  <c r="H135" i="5"/>
  <c r="G135" i="5"/>
  <c r="F135" i="5"/>
  <c r="E135" i="5"/>
  <c r="H134" i="5"/>
  <c r="G134" i="5"/>
  <c r="F134" i="5"/>
  <c r="E134" i="5"/>
  <c r="H133" i="5"/>
  <c r="G133" i="5"/>
  <c r="F133" i="5"/>
  <c r="E133" i="5"/>
  <c r="H132" i="5"/>
  <c r="G132" i="5"/>
  <c r="F132" i="5"/>
  <c r="E132" i="5"/>
  <c r="H131" i="5"/>
  <c r="G131" i="5"/>
  <c r="F131" i="5"/>
  <c r="E131" i="5"/>
  <c r="H130" i="5"/>
  <c r="G130" i="5"/>
  <c r="F130" i="5"/>
  <c r="E130" i="5"/>
  <c r="H129" i="5"/>
  <c r="G129" i="5"/>
  <c r="F129" i="5"/>
  <c r="E129" i="5"/>
  <c r="H128" i="5"/>
  <c r="G128" i="5"/>
  <c r="F128" i="5"/>
  <c r="E128" i="5"/>
  <c r="H127" i="5"/>
  <c r="G127" i="5"/>
  <c r="F127" i="5"/>
  <c r="E127" i="5"/>
  <c r="H126" i="5"/>
  <c r="G126" i="5"/>
  <c r="F126" i="5"/>
  <c r="E126" i="5"/>
  <c r="H125" i="5"/>
  <c r="G125" i="5"/>
  <c r="F125" i="5"/>
  <c r="E125" i="5"/>
  <c r="H124" i="5"/>
  <c r="G124" i="5"/>
  <c r="F124" i="5"/>
  <c r="E124" i="5"/>
  <c r="H123" i="5"/>
  <c r="G123" i="5"/>
  <c r="F123" i="5"/>
  <c r="E123" i="5"/>
  <c r="H122" i="5"/>
  <c r="G122" i="5"/>
  <c r="F122" i="5"/>
  <c r="E122" i="5"/>
  <c r="H121" i="5"/>
  <c r="G121" i="5"/>
  <c r="F121" i="5"/>
  <c r="E121" i="5"/>
  <c r="H120" i="5"/>
  <c r="G120" i="5"/>
  <c r="F120" i="5"/>
  <c r="E120" i="5"/>
  <c r="H119" i="5"/>
  <c r="G119" i="5"/>
  <c r="F119" i="5"/>
  <c r="E119" i="5"/>
  <c r="H118" i="5"/>
  <c r="G118" i="5"/>
  <c r="F118" i="5"/>
  <c r="E118" i="5"/>
  <c r="H117" i="5"/>
  <c r="G117" i="5"/>
  <c r="F117" i="5"/>
  <c r="E117" i="5"/>
  <c r="H116" i="5"/>
  <c r="G116" i="5"/>
  <c r="F116" i="5"/>
  <c r="E116" i="5"/>
  <c r="H115" i="5"/>
  <c r="G115" i="5"/>
  <c r="F115" i="5"/>
  <c r="E115" i="5"/>
  <c r="H114" i="5"/>
  <c r="G114" i="5"/>
  <c r="F114" i="5"/>
  <c r="E114" i="5"/>
  <c r="H113" i="5"/>
  <c r="G113" i="5"/>
  <c r="F113" i="5"/>
  <c r="E113" i="5"/>
  <c r="H112" i="5"/>
  <c r="G112" i="5"/>
  <c r="F112" i="5"/>
  <c r="E112" i="5"/>
  <c r="H111" i="5"/>
  <c r="G111" i="5"/>
  <c r="F111" i="5"/>
  <c r="E111" i="5"/>
  <c r="H110" i="5"/>
  <c r="G110" i="5"/>
  <c r="F110" i="5"/>
  <c r="E110" i="5"/>
  <c r="H109" i="5"/>
  <c r="G109" i="5"/>
  <c r="F109" i="5"/>
  <c r="E109" i="5"/>
  <c r="H108" i="5"/>
  <c r="G108" i="5"/>
  <c r="F108" i="5"/>
  <c r="E108" i="5"/>
  <c r="H107" i="5"/>
  <c r="G107" i="5"/>
  <c r="F107" i="5"/>
  <c r="E107" i="5"/>
  <c r="H106" i="5"/>
  <c r="G106" i="5"/>
  <c r="F106" i="5"/>
  <c r="E106" i="5"/>
  <c r="H105" i="5"/>
  <c r="G105" i="5"/>
  <c r="F105" i="5"/>
  <c r="E105" i="5"/>
  <c r="H104" i="5"/>
  <c r="G104" i="5"/>
  <c r="F104" i="5"/>
  <c r="E104" i="5"/>
  <c r="H103" i="5"/>
  <c r="G103" i="5"/>
  <c r="F103" i="5"/>
  <c r="E103" i="5"/>
  <c r="H102" i="5"/>
  <c r="G102" i="5"/>
  <c r="F102" i="5"/>
  <c r="E102" i="5"/>
  <c r="H101" i="5"/>
  <c r="G101" i="5"/>
  <c r="F101" i="5"/>
  <c r="E101" i="5"/>
  <c r="H100" i="5"/>
  <c r="G100" i="5"/>
  <c r="F100" i="5"/>
  <c r="E100" i="5"/>
  <c r="H99" i="5"/>
  <c r="G99" i="5"/>
  <c r="F99" i="5"/>
  <c r="E99" i="5"/>
  <c r="H98" i="5"/>
  <c r="G98" i="5"/>
  <c r="F98" i="5"/>
  <c r="E98" i="5"/>
  <c r="H97" i="5"/>
  <c r="G97" i="5"/>
  <c r="F97" i="5"/>
  <c r="E97" i="5"/>
  <c r="H96" i="5"/>
  <c r="G96" i="5"/>
  <c r="F96" i="5"/>
  <c r="E96" i="5"/>
  <c r="H95" i="5"/>
  <c r="G95" i="5"/>
  <c r="F95" i="5"/>
  <c r="E95" i="5"/>
  <c r="H94" i="5"/>
  <c r="G94" i="5"/>
  <c r="F94" i="5"/>
  <c r="E94" i="5"/>
  <c r="H93" i="5"/>
  <c r="G93" i="5"/>
  <c r="F93" i="5"/>
  <c r="E93" i="5"/>
  <c r="H92" i="5"/>
  <c r="G92" i="5"/>
  <c r="F92" i="5"/>
  <c r="E92" i="5"/>
  <c r="H91" i="5"/>
  <c r="G91" i="5"/>
  <c r="F91" i="5"/>
  <c r="E91" i="5"/>
  <c r="H90" i="5"/>
  <c r="G90" i="5"/>
  <c r="F90" i="5"/>
  <c r="E90" i="5"/>
  <c r="H89" i="5"/>
  <c r="G89" i="5"/>
  <c r="F89" i="5"/>
  <c r="E89" i="5"/>
  <c r="H88" i="5"/>
  <c r="G88" i="5"/>
  <c r="F88" i="5"/>
  <c r="E88" i="5"/>
  <c r="H87" i="5"/>
  <c r="G87" i="5"/>
  <c r="F87" i="5"/>
  <c r="E87" i="5"/>
  <c r="H86" i="5"/>
  <c r="G86" i="5"/>
  <c r="F86" i="5"/>
  <c r="E86" i="5"/>
  <c r="H85" i="5"/>
  <c r="G85" i="5"/>
  <c r="F85" i="5"/>
  <c r="E85" i="5"/>
  <c r="H84" i="5"/>
  <c r="G84" i="5"/>
  <c r="F84" i="5"/>
  <c r="E84" i="5"/>
  <c r="H83" i="5"/>
  <c r="G83" i="5"/>
  <c r="F83" i="5"/>
  <c r="E83" i="5"/>
  <c r="H82" i="5"/>
  <c r="G82" i="5"/>
  <c r="F82" i="5"/>
  <c r="E82" i="5"/>
  <c r="H81" i="5"/>
  <c r="G81" i="5"/>
  <c r="F81" i="5"/>
  <c r="E81" i="5"/>
  <c r="H80" i="5"/>
  <c r="G80" i="5"/>
  <c r="F80" i="5"/>
  <c r="E80" i="5"/>
  <c r="H79" i="5"/>
  <c r="G79" i="5"/>
  <c r="F79" i="5"/>
  <c r="E79" i="5"/>
  <c r="H78" i="5"/>
  <c r="G78" i="5"/>
  <c r="F78" i="5"/>
  <c r="E78" i="5"/>
  <c r="H77" i="5"/>
  <c r="G77" i="5"/>
  <c r="F77" i="5"/>
  <c r="E77" i="5"/>
  <c r="H76" i="5"/>
  <c r="G76" i="5"/>
  <c r="F76" i="5"/>
  <c r="E76" i="5"/>
  <c r="H75" i="5"/>
  <c r="G75" i="5"/>
  <c r="F75" i="5"/>
  <c r="E75" i="5"/>
  <c r="H74" i="5"/>
  <c r="G74" i="5"/>
  <c r="F74" i="5"/>
  <c r="E74" i="5"/>
  <c r="H73" i="5"/>
  <c r="G73" i="5"/>
  <c r="F73" i="5"/>
  <c r="E73" i="5"/>
  <c r="H72" i="5"/>
  <c r="G72" i="5"/>
  <c r="F72" i="5"/>
  <c r="E72" i="5"/>
  <c r="H71" i="5"/>
  <c r="G71" i="5"/>
  <c r="F71" i="5"/>
  <c r="E71" i="5"/>
  <c r="H70" i="5"/>
  <c r="G70" i="5"/>
  <c r="F70" i="5"/>
  <c r="E70" i="5"/>
  <c r="H69" i="5"/>
  <c r="G69" i="5"/>
  <c r="F69" i="5"/>
  <c r="E69" i="5"/>
  <c r="H68" i="5"/>
  <c r="G68" i="5"/>
  <c r="F68" i="5"/>
  <c r="E68" i="5"/>
  <c r="H67" i="5"/>
  <c r="G67" i="5"/>
  <c r="F67" i="5"/>
  <c r="E67" i="5"/>
  <c r="H66" i="5"/>
  <c r="G66" i="5"/>
  <c r="F66" i="5"/>
  <c r="E66" i="5"/>
  <c r="H65" i="5"/>
  <c r="G65" i="5"/>
  <c r="F65" i="5"/>
  <c r="E65" i="5"/>
  <c r="H64" i="5"/>
  <c r="G64" i="5"/>
  <c r="F64" i="5"/>
  <c r="E64" i="5"/>
  <c r="H63" i="5"/>
  <c r="G63" i="5"/>
  <c r="F63" i="5"/>
  <c r="E63" i="5"/>
  <c r="H62" i="5"/>
  <c r="G62" i="5"/>
  <c r="F62" i="5"/>
  <c r="E62" i="5"/>
  <c r="H61" i="5"/>
  <c r="G61" i="5"/>
  <c r="F61" i="5"/>
  <c r="E61" i="5"/>
  <c r="H60" i="5"/>
  <c r="G60" i="5"/>
  <c r="F60" i="5"/>
  <c r="E60" i="5"/>
  <c r="H59" i="5"/>
  <c r="G59" i="5"/>
  <c r="F59" i="5"/>
  <c r="E59" i="5"/>
  <c r="H58" i="5"/>
  <c r="G58" i="5"/>
  <c r="F58" i="5"/>
  <c r="E58" i="5"/>
  <c r="H57" i="5"/>
  <c r="G57" i="5"/>
  <c r="F57" i="5"/>
  <c r="E57" i="5"/>
  <c r="H56" i="5"/>
  <c r="G56" i="5"/>
  <c r="F56" i="5"/>
  <c r="E56" i="5"/>
  <c r="H55" i="5"/>
  <c r="G55" i="5"/>
  <c r="F55" i="5"/>
  <c r="E55" i="5"/>
  <c r="H54" i="5"/>
  <c r="G54" i="5"/>
  <c r="F54" i="5"/>
  <c r="E54" i="5"/>
  <c r="H53" i="5"/>
  <c r="G53" i="5"/>
  <c r="F53" i="5"/>
  <c r="E53" i="5"/>
  <c r="H52" i="5"/>
  <c r="G52" i="5"/>
  <c r="F52" i="5"/>
  <c r="E52" i="5"/>
  <c r="H51" i="5"/>
  <c r="G51" i="5"/>
  <c r="F51" i="5"/>
  <c r="E51" i="5"/>
  <c r="H50" i="5"/>
  <c r="G50" i="5"/>
  <c r="F50" i="5"/>
  <c r="E50" i="5"/>
  <c r="H49" i="5"/>
  <c r="G49" i="5"/>
  <c r="F49" i="5"/>
  <c r="E49" i="5"/>
  <c r="H48" i="5"/>
  <c r="G48" i="5"/>
  <c r="F48" i="5"/>
  <c r="E48" i="5"/>
  <c r="H47" i="5"/>
  <c r="G47" i="5"/>
  <c r="F47" i="5"/>
  <c r="E47" i="5"/>
  <c r="H46" i="5"/>
  <c r="G46" i="5"/>
  <c r="F46" i="5"/>
  <c r="E46" i="5"/>
  <c r="H45" i="5"/>
  <c r="G45" i="5"/>
  <c r="F45" i="5"/>
  <c r="E45" i="5"/>
  <c r="H44" i="5"/>
  <c r="G44" i="5"/>
  <c r="F44" i="5"/>
  <c r="E44" i="5"/>
  <c r="H43" i="5"/>
  <c r="G43" i="5"/>
  <c r="F43" i="5"/>
  <c r="E43" i="5"/>
  <c r="H42" i="5"/>
  <c r="G42" i="5"/>
  <c r="F42" i="5"/>
  <c r="E42" i="5"/>
  <c r="H41" i="5"/>
  <c r="G41" i="5"/>
  <c r="F41" i="5"/>
  <c r="E41" i="5"/>
  <c r="H40" i="5"/>
  <c r="G40" i="5"/>
  <c r="F40" i="5"/>
  <c r="E40" i="5"/>
  <c r="H39" i="5"/>
  <c r="G39" i="5"/>
  <c r="F39" i="5"/>
  <c r="E39" i="5"/>
  <c r="H38" i="5"/>
  <c r="G38" i="5"/>
  <c r="F38" i="5"/>
  <c r="E38" i="5"/>
  <c r="H37" i="5"/>
  <c r="G37" i="5"/>
  <c r="F37" i="5"/>
  <c r="E37" i="5"/>
  <c r="H36" i="5"/>
  <c r="G36" i="5"/>
  <c r="F36" i="5"/>
  <c r="E36" i="5"/>
  <c r="H35" i="5"/>
  <c r="G35" i="5"/>
  <c r="F35" i="5"/>
  <c r="E35" i="5"/>
  <c r="H34" i="5"/>
  <c r="G34" i="5"/>
  <c r="F34" i="5"/>
  <c r="E34" i="5"/>
  <c r="H33" i="5"/>
  <c r="G33" i="5"/>
  <c r="F33" i="5"/>
  <c r="E33" i="5"/>
  <c r="H32" i="5"/>
  <c r="G32" i="5"/>
  <c r="F32" i="5"/>
  <c r="E32" i="5"/>
  <c r="E31" i="5"/>
  <c r="E30" i="5"/>
  <c r="E29" i="5"/>
  <c r="E28" i="5"/>
  <c r="E27" i="5"/>
  <c r="E26" i="5"/>
  <c r="E25" i="5"/>
  <c r="G25" i="5" s="1"/>
  <c r="H25" i="5" s="1"/>
  <c r="E24" i="5"/>
  <c r="E23" i="5"/>
  <c r="F23" i="5" s="1"/>
  <c r="E22" i="5"/>
  <c r="E21" i="5"/>
  <c r="G21" i="5" s="1"/>
  <c r="H21" i="5" s="1"/>
  <c r="E20" i="5"/>
  <c r="F20" i="5" s="1"/>
  <c r="E19" i="5"/>
  <c r="G19" i="5" s="1"/>
  <c r="H19" i="5" s="1"/>
  <c r="E18" i="5"/>
  <c r="F18" i="5" s="1"/>
  <c r="E17" i="5"/>
  <c r="F17" i="5" s="1"/>
  <c r="E16" i="5"/>
  <c r="E15" i="5"/>
  <c r="G15" i="5" s="1"/>
  <c r="H15" i="5" s="1"/>
  <c r="E14" i="5"/>
  <c r="F14" i="5" s="1"/>
  <c r="E12" i="5"/>
  <c r="F12" i="5" s="1"/>
  <c r="E11" i="5"/>
  <c r="G11" i="5" s="1"/>
  <c r="H11" i="5" s="1"/>
  <c r="E10" i="5"/>
  <c r="E9" i="5"/>
  <c r="G9" i="5" s="1"/>
  <c r="H9" i="5" s="1"/>
  <c r="E8" i="5"/>
  <c r="G8" i="5" s="1"/>
  <c r="H8" i="5" s="1"/>
  <c r="E7" i="5"/>
  <c r="G7" i="5" s="1"/>
  <c r="H7" i="5" s="1"/>
  <c r="E6" i="5"/>
  <c r="G6" i="5" s="1"/>
  <c r="H6" i="5" s="1"/>
  <c r="E5" i="5"/>
  <c r="G5" i="5" s="1"/>
  <c r="H5" i="5" s="1"/>
  <c r="E4" i="5"/>
  <c r="G4" i="5" s="1"/>
  <c r="H4" i="5" s="1"/>
  <c r="E3" i="5"/>
  <c r="G3" i="5" s="1"/>
  <c r="H3" i="5" s="1"/>
  <c r="L5" i="1"/>
  <c r="G31" i="5" l="1"/>
  <c r="H31" i="5" s="1"/>
  <c r="F31" i="5"/>
  <c r="G30" i="5"/>
  <c r="H30" i="5" s="1"/>
  <c r="F30" i="5"/>
  <c r="G29" i="5"/>
  <c r="H29" i="5" s="1"/>
  <c r="F29" i="5"/>
  <c r="G28" i="5"/>
  <c r="H28" i="5" s="1"/>
  <c r="F28" i="5"/>
  <c r="G27" i="5"/>
  <c r="H27" i="5" s="1"/>
  <c r="F27" i="5"/>
  <c r="F26" i="5"/>
  <c r="G26" i="5"/>
  <c r="H26" i="5" s="1"/>
  <c r="F24" i="5"/>
  <c r="G24" i="5"/>
  <c r="H24" i="5" s="1"/>
  <c r="G22" i="5"/>
  <c r="H22" i="5" s="1"/>
  <c r="F22" i="5"/>
  <c r="F16" i="5"/>
  <c r="G16" i="5"/>
  <c r="H16" i="5" s="1"/>
  <c r="G10" i="5"/>
  <c r="H10" i="5" s="1"/>
  <c r="F10" i="5"/>
  <c r="G12" i="5"/>
  <c r="H12" i="5" s="1"/>
  <c r="G18" i="5"/>
  <c r="H18" i="5" s="1"/>
  <c r="G14" i="5"/>
  <c r="H14" i="5" s="1"/>
  <c r="G20" i="5"/>
  <c r="H20" i="5" s="1"/>
  <c r="F15" i="5"/>
  <c r="F19" i="5"/>
  <c r="F25" i="5"/>
  <c r="F21" i="5"/>
  <c r="G17" i="5"/>
  <c r="H17" i="5" s="1"/>
  <c r="G23" i="5"/>
  <c r="H23" i="5" s="1"/>
  <c r="F11" i="5"/>
  <c r="F9" i="5"/>
  <c r="F3" i="5"/>
  <c r="F5" i="5"/>
  <c r="F7" i="5"/>
  <c r="F4" i="5"/>
  <c r="F6" i="5"/>
  <c r="F8" i="5"/>
  <c r="N4" i="1" l="1"/>
  <c r="N6" i="1"/>
  <c r="N5" i="1"/>
  <c r="L9" i="1" l="1"/>
  <c r="I4" i="1"/>
  <c r="I6" i="1" s="1"/>
  <c r="I8" i="1" s="1"/>
  <c r="J8" i="1" s="1"/>
  <c r="B12" i="1" l="1"/>
  <c r="L15" i="1"/>
  <c r="L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</calcChain>
</file>

<file path=xl/sharedStrings.xml><?xml version="1.0" encoding="utf-8"?>
<sst xmlns="http://schemas.openxmlformats.org/spreadsheetml/2006/main" count="114" uniqueCount="78">
  <si>
    <t>No.</t>
  </si>
  <si>
    <t>Nama Barang</t>
  </si>
  <si>
    <t>Harga</t>
  </si>
  <si>
    <t>Jumlah</t>
  </si>
  <si>
    <t>No. Transaksi</t>
  </si>
  <si>
    <t>Tanggal</t>
  </si>
  <si>
    <t>Banyaknya</t>
  </si>
  <si>
    <t>DAFTAR BARANG</t>
  </si>
  <si>
    <t>Harga Beli</t>
  </si>
  <si>
    <t>Harga Jual</t>
  </si>
  <si>
    <t>Stok Awal</t>
  </si>
  <si>
    <t>Terjual</t>
  </si>
  <si>
    <t>Stok Akhir</t>
  </si>
  <si>
    <t>Kas Masuk</t>
  </si>
  <si>
    <t>Profit</t>
  </si>
  <si>
    <t>DAFTAR TRANSAKSI</t>
  </si>
  <si>
    <t>No. Nota :</t>
  </si>
  <si>
    <t>Total item</t>
  </si>
  <si>
    <t>Pelanggan</t>
  </si>
  <si>
    <t>DAFTAR PELANGGAN</t>
  </si>
  <si>
    <t>Nama Pelanggan</t>
  </si>
  <si>
    <t>Alamat</t>
  </si>
  <si>
    <t>Telepon/HP</t>
  </si>
  <si>
    <t>-</t>
  </si>
  <si>
    <t>Tanggal :</t>
  </si>
  <si>
    <t>Kasir :</t>
  </si>
  <si>
    <t>Subtotal:</t>
  </si>
  <si>
    <t>Total:</t>
  </si>
  <si>
    <t>Bayar:</t>
  </si>
  <si>
    <t>Kembalian:</t>
  </si>
  <si>
    <t>Diskon:</t>
  </si>
  <si>
    <t>UMUM</t>
  </si>
  <si>
    <t>ZULKIFLI LATIF</t>
  </si>
  <si>
    <t>PENGATURAN</t>
  </si>
  <si>
    <t>Nama Toko</t>
  </si>
  <si>
    <t>Telepon</t>
  </si>
  <si>
    <t>Nama Kasir</t>
  </si>
  <si>
    <t>Cetak Struk</t>
  </si>
  <si>
    <t>Jl. Keindahan No.1</t>
  </si>
  <si>
    <t>INPUT TRANSAKSI</t>
  </si>
  <si>
    <t>081234567890</t>
  </si>
  <si>
    <t>Qty</t>
  </si>
  <si>
    <t>Tidak</t>
  </si>
  <si>
    <t>TATANG M</t>
  </si>
  <si>
    <t>Jl. Banjaran No.6</t>
  </si>
  <si>
    <t>085642314253</t>
  </si>
  <si>
    <t>Dini Fitriani</t>
  </si>
  <si>
    <t>RUMAH MAKAN NASI GORENG</t>
  </si>
  <si>
    <t>Jl. Pameungpeuk – Banjaran (depan pesantren persis)</t>
  </si>
  <si>
    <t>Nasgor Biasa</t>
  </si>
  <si>
    <t>Nasgor Sosis</t>
  </si>
  <si>
    <t>Nasgor Vietnam</t>
  </si>
  <si>
    <t>Nasgor Ati Ampela</t>
  </si>
  <si>
    <t>Nasgor Udang</t>
  </si>
  <si>
    <t>Nasgor Cumi</t>
  </si>
  <si>
    <t>Nasgor Jambal Pete</t>
  </si>
  <si>
    <t>Nasgor Seafood</t>
  </si>
  <si>
    <t>Nasgor Jando Sapi</t>
  </si>
  <si>
    <t>Nasgor Ayam Pete</t>
  </si>
  <si>
    <t>Nasgor Ati Ampela Pete</t>
  </si>
  <si>
    <t>Nasgor Udang Pete</t>
  </si>
  <si>
    <t>Nasgor Cumi Pete</t>
  </si>
  <si>
    <t>Tambah Telur</t>
  </si>
  <si>
    <t>Kwetiau kuah/goreng biasa</t>
  </si>
  <si>
    <t>Kwetiau kuah/goreng sosis</t>
  </si>
  <si>
    <t>Kwetiau kuah/goreng udang</t>
  </si>
  <si>
    <t>Kwetiau kuah/goreng cumi</t>
  </si>
  <si>
    <t>Kwetiau kuah/goreng seafood</t>
  </si>
  <si>
    <t>Mie goreng/kuah biasa</t>
  </si>
  <si>
    <t>Mie goreng/kuah sosis</t>
  </si>
  <si>
    <t>Mie goreng/kuah udang</t>
  </si>
  <si>
    <t>Mie goreng/kuang cumi</t>
  </si>
  <si>
    <t>Mie goreng/kuah seafood</t>
  </si>
  <si>
    <t>Capcay biasa</t>
  </si>
  <si>
    <t>Capcay sosis</t>
  </si>
  <si>
    <t>Capcay udang</t>
  </si>
  <si>
    <t>Capcay cumi</t>
  </si>
  <si>
    <t>Capcay seafood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</si>
</sst>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dd/mmm/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28"/>
      <color rgb="FF0070C0"/>
      <name val="Aharoni"/>
      <charset val="177"/>
    </font>
    <font>
      <sz val="9"/>
      <name val="Arial Narrow"/>
      <family val="2"/>
    </font>
    <font>
      <sz val="9"/>
      <color theme="1"/>
      <name val="Arial Narrow"/>
      <family val="2"/>
    </font>
    <font>
      <b/>
      <sz val="12"/>
      <name val="Arial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slantDashDot">
        <color auto="1"/>
      </left>
      <right/>
      <top style="slantDashDot">
        <color auto="1"/>
      </top>
      <bottom style="slantDashDot">
        <color auto="1"/>
      </bottom>
      <diagonal/>
    </border>
    <border>
      <left/>
      <right/>
      <top style="slantDashDot">
        <color auto="1"/>
      </top>
      <bottom style="slantDashDot">
        <color auto="1"/>
      </bottom>
      <diagonal/>
    </border>
    <border>
      <left/>
      <right style="slantDashDot">
        <color auto="1"/>
      </right>
      <top style="slantDashDot">
        <color auto="1"/>
      </top>
      <bottom style="slantDashDot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79">
    <xf numFmtId="0" fontId="0" fillId="0" borderId="0" xfId="0"/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Alignment="1">
      <alignment horizontal="center"/>
    </xf>
    <xf numFmtId="166" fontId="0" fillId="0" borderId="0" xfId="1" applyNumberFormat="1" applyFont="1"/>
    <xf numFmtId="0" fontId="5" fillId="0" borderId="0" xfId="0" applyFont="1"/>
    <xf numFmtId="0" fontId="6" fillId="2" borderId="1" xfId="0" quotePrefix="1" applyFont="1" applyFill="1" applyBorder="1" applyAlignment="1">
      <alignment horizontal="left"/>
    </xf>
    <xf numFmtId="167" fontId="6" fillId="2" borderId="1" xfId="0" applyNumberFormat="1" applyFont="1" applyFill="1" applyBorder="1" applyAlignment="1">
      <alignment horizontal="left"/>
    </xf>
    <xf numFmtId="166" fontId="6" fillId="2" borderId="1" xfId="1" applyNumberFormat="1" applyFont="1" applyFill="1" applyBorder="1"/>
    <xf numFmtId="0" fontId="5" fillId="0" borderId="0" xfId="0" applyFont="1" applyFill="1" applyBorder="1"/>
    <xf numFmtId="0" fontId="5" fillId="0" borderId="0" xfId="0" applyFont="1" applyFill="1" applyBorder="1" applyAlignment="1">
      <alignment horizontal="center"/>
    </xf>
    <xf numFmtId="14" fontId="5" fillId="0" borderId="0" xfId="0" applyNumberFormat="1" applyFont="1" applyFill="1" applyBorder="1"/>
    <xf numFmtId="0" fontId="3" fillId="0" borderId="0" xfId="0" applyFont="1" applyFill="1" applyBorder="1" applyAlignment="1">
      <alignment horizontal="left"/>
    </xf>
    <xf numFmtId="14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164" fontId="5" fillId="0" borderId="0" xfId="0" applyNumberFormat="1" applyFont="1"/>
    <xf numFmtId="0" fontId="2" fillId="4" borderId="9" xfId="0" applyFont="1" applyFill="1" applyBorder="1" applyAlignment="1">
      <alignment horizontal="center"/>
    </xf>
    <xf numFmtId="0" fontId="2" fillId="5" borderId="1" xfId="0" applyNumberFormat="1" applyFont="1" applyFill="1" applyBorder="1" applyAlignment="1">
      <alignment horizontal="center"/>
    </xf>
    <xf numFmtId="14" fontId="2" fillId="5" borderId="1" xfId="0" applyNumberFormat="1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4" fontId="2" fillId="5" borderId="1" xfId="0" applyNumberFormat="1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14" fontId="5" fillId="0" borderId="0" xfId="0" applyNumberFormat="1" applyFont="1" applyAlignment="1">
      <alignment horizontal="left"/>
    </xf>
    <xf numFmtId="49" fontId="2" fillId="6" borderId="9" xfId="0" applyNumberFormat="1" applyFont="1" applyFill="1" applyBorder="1" applyAlignment="1">
      <alignment horizontal="center"/>
    </xf>
    <xf numFmtId="49" fontId="0" fillId="0" borderId="0" xfId="0" applyNumberFormat="1"/>
    <xf numFmtId="49" fontId="0" fillId="0" borderId="0" xfId="0" quotePrefix="1" applyNumberFormat="1"/>
    <xf numFmtId="0" fontId="6" fillId="0" borderId="0" xfId="0" applyFont="1" applyFill="1" applyBorder="1"/>
    <xf numFmtId="0" fontId="7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166" fontId="6" fillId="0" borderId="1" xfId="1" applyNumberFormat="1" applyFont="1" applyFill="1" applyBorder="1" applyProtection="1">
      <protection locked="0"/>
    </xf>
    <xf numFmtId="0" fontId="6" fillId="0" borderId="1" xfId="0" applyFont="1" applyFill="1" applyBorder="1" applyProtection="1"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Protection="1">
      <protection locked="0"/>
    </xf>
    <xf numFmtId="14" fontId="5" fillId="0" borderId="1" xfId="0" applyNumberFormat="1" applyFont="1" applyFill="1" applyBorder="1" applyProtection="1">
      <protection locked="0"/>
    </xf>
    <xf numFmtId="166" fontId="5" fillId="0" borderId="1" xfId="1" applyNumberFormat="1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0" xfId="0" applyFont="1" applyFill="1" applyBorder="1" applyProtection="1">
      <protection locked="0"/>
    </xf>
    <xf numFmtId="14" fontId="5" fillId="0" borderId="0" xfId="0" applyNumberFormat="1" applyFont="1" applyFill="1" applyBorder="1" applyProtection="1">
      <protection locked="0"/>
    </xf>
    <xf numFmtId="166" fontId="5" fillId="0" borderId="0" xfId="1" applyNumberFormat="1" applyFont="1" applyFill="1" applyBorder="1" applyProtection="1">
      <protection locked="0"/>
    </xf>
    <xf numFmtId="15" fontId="5" fillId="0" borderId="0" xfId="0" applyNumberFormat="1" applyFont="1" applyFill="1" applyBorder="1" applyProtection="1">
      <protection locked="0"/>
    </xf>
    <xf numFmtId="0" fontId="0" fillId="0" borderId="0" xfId="0" applyProtection="1">
      <protection locked="0"/>
    </xf>
    <xf numFmtId="15" fontId="0" fillId="0" borderId="0" xfId="0" applyNumberFormat="1" applyProtection="1">
      <protection locked="0"/>
    </xf>
    <xf numFmtId="0" fontId="0" fillId="0" borderId="0" xfId="0" applyFill="1" applyBorder="1" applyProtection="1">
      <protection locked="0"/>
    </xf>
    <xf numFmtId="166" fontId="0" fillId="0" borderId="0" xfId="1" applyNumberFormat="1" applyFont="1" applyProtection="1">
      <protection locked="0"/>
    </xf>
    <xf numFmtId="0" fontId="8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3" fontId="9" fillId="0" borderId="0" xfId="0" applyNumberFormat="1" applyFont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8" fillId="8" borderId="10" xfId="0" applyFont="1" applyFill="1" applyBorder="1" applyAlignment="1" applyProtection="1">
      <alignment horizontal="center" vertical="center"/>
      <protection locked="0"/>
    </xf>
    <xf numFmtId="3" fontId="8" fillId="8" borderId="1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3" fontId="0" fillId="0" borderId="0" xfId="1" applyNumberFormat="1" applyFont="1" applyBorder="1" applyProtection="1">
      <protection locked="0"/>
    </xf>
    <xf numFmtId="3" fontId="0" fillId="0" borderId="0" xfId="1" applyNumberFormat="1" applyFont="1" applyBorder="1"/>
    <xf numFmtId="3" fontId="0" fillId="0" borderId="0" xfId="1" applyNumberFormat="1" applyFont="1" applyFill="1" applyBorder="1" applyProtection="1">
      <protection locked="0"/>
    </xf>
    <xf numFmtId="3" fontId="0" fillId="0" borderId="0" xfId="0" applyNumberFormat="1" applyBorder="1" applyProtection="1">
      <protection locked="0"/>
    </xf>
    <xf numFmtId="3" fontId="0" fillId="0" borderId="0" xfId="0" applyNumberFormat="1" applyProtection="1">
      <protection locked="0"/>
    </xf>
    <xf numFmtId="3" fontId="0" fillId="0" borderId="0" xfId="0" applyNumberFormat="1"/>
    <xf numFmtId="164" fontId="6" fillId="2" borderId="1" xfId="1" applyNumberFormat="1" applyFont="1" applyFill="1" applyBorder="1"/>
    <xf numFmtId="164" fontId="6" fillId="0" borderId="1" xfId="1" applyNumberFormat="1" applyFont="1" applyFill="1" applyBorder="1" applyProtection="1">
      <protection locked="0"/>
    </xf>
    <xf numFmtId="0" fontId="8" fillId="8" borderId="0" xfId="0" applyNumberFormat="1" applyFont="1" applyFill="1" applyAlignment="1" applyProtection="1">
      <alignment horizontal="left" vertical="center"/>
      <protection locked="0"/>
    </xf>
    <xf numFmtId="3" fontId="8" fillId="8" borderId="0" xfId="0" applyNumberFormat="1" applyFont="1" applyFill="1" applyAlignment="1" applyProtection="1">
      <alignment vertical="center"/>
      <protection locked="0"/>
    </xf>
    <xf numFmtId="14" fontId="8" fillId="8" borderId="0" xfId="0" applyNumberFormat="1" applyFont="1" applyFill="1" applyAlignment="1" applyProtection="1">
      <alignment horizontal="left" vertical="center"/>
      <protection locked="0"/>
    </xf>
    <xf numFmtId="0" fontId="0" fillId="0" borderId="1" xfId="0" applyBorder="1" applyProtection="1">
      <protection locked="0"/>
    </xf>
    <xf numFmtId="0" fontId="8" fillId="8" borderId="0" xfId="0" applyFont="1" applyFill="1" applyAlignment="1" applyProtection="1">
      <alignment horizontal="right" vertical="center"/>
      <protection locked="0"/>
    </xf>
    <xf numFmtId="0" fontId="8" fillId="8" borderId="11" xfId="0" applyFont="1" applyFill="1" applyBorder="1" applyAlignment="1" applyProtection="1">
      <alignment horizontal="right" vertical="center"/>
      <protection locked="0"/>
    </xf>
    <xf numFmtId="0" fontId="8" fillId="7" borderId="0" xfId="0" applyFont="1" applyFill="1" applyAlignment="1" applyProtection="1">
      <alignment horizontal="center" vertical="center"/>
      <protection locked="0"/>
    </xf>
    <xf numFmtId="0" fontId="7" fillId="0" borderId="6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10" fillId="7" borderId="0" xfId="0" applyFont="1" applyFill="1" applyAlignment="1" applyProtection="1">
      <alignment horizontal="center" vertical="center"/>
      <protection locked="0"/>
    </xf>
    <xf numFmtId="0" fontId="3" fillId="0" borderId="0" xfId="0" applyFont="1" applyFill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4" fillId="0" borderId="0" xfId="0" applyFont="1" applyAlignment="1">
      <alignment horizontal="center"/>
    </xf>
  </cellXfs>
  <cellStyles count="2">
    <cellStyle name="Comma" xfId="1" builtinId="3"/>
    <cellStyle name="Normal" xfId="0" builtinId="0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border>
        <left/>
        <right/>
        <top style="hair">
          <color auto="1"/>
        </top>
        <bottom/>
        <vertical/>
        <horizontal/>
      </border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Pengatura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'Transaksi Kasir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5872</xdr:colOff>
      <xdr:row>6</xdr:row>
      <xdr:rowOff>95282</xdr:rowOff>
    </xdr:from>
    <xdr:to>
      <xdr:col>5</xdr:col>
      <xdr:colOff>557499</xdr:colOff>
      <xdr:row>8</xdr:row>
      <xdr:rowOff>51083</xdr:rowOff>
    </xdr:to>
    <xdr:sp macro="[0]!Sheet1.TomboBatal" textlink="">
      <xdr:nvSpPr>
        <xdr:cNvPr id="74" name="Rectangle 73">
          <a:extLst>
            <a:ext uri="{FF2B5EF4-FFF2-40B4-BE49-F238E27FC236}">
              <a16:creationId xmlns:a16="http://schemas.microsoft.com/office/drawing/2014/main" id="{00334C8A-0B55-4233-8B02-E948C1A15DE1}"/>
            </a:ext>
          </a:extLst>
        </xdr:cNvPr>
        <xdr:cNvSpPr/>
      </xdr:nvSpPr>
      <xdr:spPr>
        <a:xfrm>
          <a:off x="128231" y="1384760"/>
          <a:ext cx="913999" cy="31346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1100"/>
            <a:t>Batal</a:t>
          </a:r>
        </a:p>
      </xdr:txBody>
    </xdr:sp>
    <xdr:clientData/>
  </xdr:twoCellAnchor>
  <xdr:twoCellAnchor editAs="oneCell">
    <xdr:from>
      <xdr:col>5</xdr:col>
      <xdr:colOff>617186</xdr:colOff>
      <xdr:row>6</xdr:row>
      <xdr:rowOff>95357</xdr:rowOff>
    </xdr:from>
    <xdr:to>
      <xdr:col>5</xdr:col>
      <xdr:colOff>1531185</xdr:colOff>
      <xdr:row>8</xdr:row>
      <xdr:rowOff>51158</xdr:rowOff>
    </xdr:to>
    <xdr:sp macro="[0]!Sheet1.TombolSimpan" textlink="">
      <xdr:nvSpPr>
        <xdr:cNvPr id="75" name="Rectangle 74">
          <a:extLst>
            <a:ext uri="{FF2B5EF4-FFF2-40B4-BE49-F238E27FC236}">
              <a16:creationId xmlns:a16="http://schemas.microsoft.com/office/drawing/2014/main" id="{04AB6EFD-2B43-44F2-ACE3-1ACDEF903EB0}"/>
            </a:ext>
          </a:extLst>
        </xdr:cNvPr>
        <xdr:cNvSpPr/>
      </xdr:nvSpPr>
      <xdr:spPr>
        <a:xfrm>
          <a:off x="1101917" y="1384835"/>
          <a:ext cx="913999" cy="31346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1100"/>
            <a:t>Simpan Data</a:t>
          </a:r>
        </a:p>
      </xdr:txBody>
    </xdr:sp>
    <xdr:clientData/>
  </xdr:twoCellAnchor>
  <xdr:twoCellAnchor editAs="oneCell">
    <xdr:from>
      <xdr:col>11</xdr:col>
      <xdr:colOff>1264</xdr:colOff>
      <xdr:row>11</xdr:row>
      <xdr:rowOff>92495</xdr:rowOff>
    </xdr:from>
    <xdr:to>
      <xdr:col>11</xdr:col>
      <xdr:colOff>756907</xdr:colOff>
      <xdr:row>12</xdr:row>
      <xdr:rowOff>169506</xdr:rowOff>
    </xdr:to>
    <xdr:sp macro="[0]!Sheet1.TombolTambah" textlink="">
      <xdr:nvSpPr>
        <xdr:cNvPr id="76" name="Rectangle 75">
          <a:extLst>
            <a:ext uri="{FF2B5EF4-FFF2-40B4-BE49-F238E27FC236}">
              <a16:creationId xmlns:a16="http://schemas.microsoft.com/office/drawing/2014/main" id="{38247FBB-53EB-409C-BFAF-97225EE3AFEB}"/>
            </a:ext>
          </a:extLst>
        </xdr:cNvPr>
        <xdr:cNvSpPr/>
      </xdr:nvSpPr>
      <xdr:spPr>
        <a:xfrm>
          <a:off x="6453361" y="2276137"/>
          <a:ext cx="755643" cy="25584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1100"/>
            <a:t>Tambah</a:t>
          </a:r>
        </a:p>
      </xdr:txBody>
    </xdr:sp>
    <xdr:clientData/>
  </xdr:twoCellAnchor>
  <xdr:twoCellAnchor editAs="oneCell">
    <xdr:from>
      <xdr:col>12</xdr:col>
      <xdr:colOff>36479</xdr:colOff>
      <xdr:row>6</xdr:row>
      <xdr:rowOff>177166</xdr:rowOff>
    </xdr:from>
    <xdr:to>
      <xdr:col>12</xdr:col>
      <xdr:colOff>327708</xdr:colOff>
      <xdr:row>8</xdr:row>
      <xdr:rowOff>6563</xdr:rowOff>
    </xdr:to>
    <xdr:sp macro="[0]!Sheet1.TombolCariData" textlink="">
      <xdr:nvSpPr>
        <xdr:cNvPr id="7" name="Rectangle 6">
          <a:extLst>
            <a:ext uri="{FF2B5EF4-FFF2-40B4-BE49-F238E27FC236}">
              <a16:creationId xmlns:a16="http://schemas.microsoft.com/office/drawing/2014/main" id="{430067AB-ACB8-448A-BB7B-3079F9D6C5AF}"/>
            </a:ext>
          </a:extLst>
        </xdr:cNvPr>
        <xdr:cNvSpPr/>
      </xdr:nvSpPr>
      <xdr:spPr>
        <a:xfrm>
          <a:off x="8220262" y="1456644"/>
          <a:ext cx="291229" cy="18521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1100"/>
            <a:t>...</a:t>
          </a:r>
        </a:p>
      </xdr:txBody>
    </xdr:sp>
    <xdr:clientData/>
  </xdr:twoCellAnchor>
  <xdr:oneCellAnchor>
    <xdr:from>
      <xdr:col>13</xdr:col>
      <xdr:colOff>0</xdr:colOff>
      <xdr:row>16</xdr:row>
      <xdr:rowOff>0</xdr:rowOff>
    </xdr:from>
    <xdr:ext cx="2333625" cy="247184"/>
    <xdr:sp macro="" textlink="">
      <xdr:nvSpPr>
        <xdr:cNvPr id="6" name="FooterTerimakasih">
          <a:extLst>
            <a:ext uri="{FF2B5EF4-FFF2-40B4-BE49-F238E27FC236}">
              <a16:creationId xmlns:a16="http://schemas.microsoft.com/office/drawing/2014/main" id="{108E84FE-0AB7-4E2A-AD15-26278FEC2D7B}"/>
            </a:ext>
          </a:extLst>
        </xdr:cNvPr>
        <xdr:cNvSpPr txBox="1"/>
      </xdr:nvSpPr>
      <xdr:spPr>
        <a:xfrm>
          <a:off x="8610600" y="3200400"/>
          <a:ext cx="2333625" cy="24718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Terimakasih</a:t>
          </a:r>
          <a:endParaRPr lang="en-ID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  <xdr:twoCellAnchor editAs="oneCell">
    <xdr:from>
      <xdr:col>11</xdr:col>
      <xdr:colOff>804744</xdr:colOff>
      <xdr:row>1</xdr:row>
      <xdr:rowOff>28238</xdr:rowOff>
    </xdr:from>
    <xdr:to>
      <xdr:col>12</xdr:col>
      <xdr:colOff>4704</xdr:colOff>
      <xdr:row>1</xdr:row>
      <xdr:rowOff>284081</xdr:rowOff>
    </xdr:to>
    <xdr:sp macro="[0]!Sheet1.TombolTambah" textlink="">
      <xdr:nvSpPr>
        <xdr:cNvPr id="8" name="Rectangle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12A99E-F70F-48A0-9E05-1C51977A201C}"/>
            </a:ext>
          </a:extLst>
        </xdr:cNvPr>
        <xdr:cNvSpPr/>
      </xdr:nvSpPr>
      <xdr:spPr>
        <a:xfrm>
          <a:off x="7256841" y="117655"/>
          <a:ext cx="927107" cy="25584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1100"/>
            <a:t>Pengaturan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464387</xdr:colOff>
      <xdr:row>0</xdr:row>
      <xdr:rowOff>19496</xdr:rowOff>
    </xdr:from>
    <xdr:to>
      <xdr:col>6</xdr:col>
      <xdr:colOff>865303</xdr:colOff>
      <xdr:row>0</xdr:row>
      <xdr:rowOff>167672</xdr:rowOff>
    </xdr:to>
    <xdr:sp macro="[0]!Sheet2.TombolHapusSemuaTransaksi" textlink="">
      <xdr:nvSpPr>
        <xdr:cNvPr id="2" name="Rectangle 1">
          <a:extLst>
            <a:ext uri="{FF2B5EF4-FFF2-40B4-BE49-F238E27FC236}">
              <a16:creationId xmlns:a16="http://schemas.microsoft.com/office/drawing/2014/main" id="{050C1EDA-7AE7-43B5-A5B9-B25CE12C3E77}"/>
            </a:ext>
          </a:extLst>
        </xdr:cNvPr>
        <xdr:cNvSpPr/>
      </xdr:nvSpPr>
      <xdr:spPr>
        <a:xfrm>
          <a:off x="5599845" y="19496"/>
          <a:ext cx="1153492" cy="148176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700"/>
            <a:t>Hapus</a:t>
          </a:r>
          <a:r>
            <a:rPr lang="en-ID" sz="700" baseline="0"/>
            <a:t> Semua Transaksi</a:t>
          </a:r>
          <a:endParaRPr lang="en-ID" sz="7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591288</xdr:colOff>
      <xdr:row>0</xdr:row>
      <xdr:rowOff>49931</xdr:rowOff>
    </xdr:from>
    <xdr:to>
      <xdr:col>5</xdr:col>
      <xdr:colOff>89498</xdr:colOff>
      <xdr:row>2</xdr:row>
      <xdr:rowOff>26161</xdr:rowOff>
    </xdr:to>
    <xdr:sp macro="[0]!Sheet1.TombolTambah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302FF1-DED0-4895-9ABA-3F29B68EBE0D}"/>
            </a:ext>
          </a:extLst>
        </xdr:cNvPr>
        <xdr:cNvSpPr/>
      </xdr:nvSpPr>
      <xdr:spPr>
        <a:xfrm>
          <a:off x="3746917" y="49931"/>
          <a:ext cx="696550" cy="25584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ID" sz="1100"/>
            <a:t>Selesai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0"/>
  <sheetViews>
    <sheetView showGridLines="0" tabSelected="1" zoomScale="110" zoomScaleNormal="110" workbookViewId="0">
      <selection activeCell="I13" sqref="I13"/>
    </sheetView>
  </sheetViews>
  <sheetFormatPr defaultRowHeight="15" x14ac:dyDescent="0.25"/>
  <cols>
    <col min="1" max="1" width="1.85546875" style="42" customWidth="1"/>
    <col min="2" max="2" width="5.28515625" style="5" customWidth="1"/>
    <col min="3" max="3" width="12.7109375" hidden="1" customWidth="1"/>
    <col min="4" max="4" width="12.42578125" hidden="1" customWidth="1"/>
    <col min="5" max="5" width="17.42578125" hidden="1" customWidth="1"/>
    <col min="6" max="6" width="28.7109375" customWidth="1"/>
    <col min="7" max="7" width="16.7109375" style="6" customWidth="1"/>
    <col min="8" max="8" width="11.140625" style="6" customWidth="1"/>
    <col min="9" max="9" width="16.7109375" style="6" customWidth="1"/>
    <col min="10" max="10" width="1.5703125" customWidth="1"/>
    <col min="11" max="11" width="12.7109375" bestFit="1" customWidth="1"/>
    <col min="12" max="12" width="25.28515625" customWidth="1"/>
    <col min="14" max="14" width="12.140625" style="46" customWidth="1"/>
    <col min="15" max="15" width="4" style="47" customWidth="1"/>
    <col min="16" max="17" width="9.140625" style="48" customWidth="1"/>
  </cols>
  <sheetData>
    <row r="1" spans="1:17" ht="6.95" customHeight="1" thickBot="1" x14ac:dyDescent="0.3">
      <c r="A1" s="38"/>
      <c r="B1" s="12"/>
      <c r="C1" s="11"/>
      <c r="D1" s="11"/>
      <c r="E1" s="11"/>
      <c r="F1" s="11"/>
      <c r="G1" s="11"/>
      <c r="H1" s="11"/>
      <c r="I1" s="11"/>
      <c r="J1" s="11"/>
      <c r="K1" s="11"/>
      <c r="L1" s="11"/>
      <c r="O1" s="49"/>
    </row>
    <row r="2" spans="1:17" ht="42.75" customHeight="1" thickBot="1" x14ac:dyDescent="0.3">
      <c r="A2" s="38"/>
      <c r="B2" s="68" t="str">
        <f>Pengaturan!B3</f>
        <v>RUMAH MAKAN NASI GORENG</v>
      </c>
      <c r="C2" s="69"/>
      <c r="D2" s="69"/>
      <c r="E2" s="69"/>
      <c r="F2" s="69"/>
      <c r="G2" s="69"/>
      <c r="H2" s="69"/>
      <c r="I2" s="70"/>
      <c r="J2" s="11"/>
      <c r="K2" s="73" t="s">
        <v>39</v>
      </c>
      <c r="L2" s="73"/>
      <c r="O2" s="49"/>
    </row>
    <row r="3" spans="1:17" ht="6.95" customHeight="1" x14ac:dyDescent="0.25">
      <c r="A3" s="38"/>
      <c r="B3" s="29"/>
      <c r="C3" s="29"/>
      <c r="D3" s="29"/>
      <c r="E3" s="29"/>
      <c r="F3" s="29"/>
      <c r="G3" s="29"/>
      <c r="H3" s="11"/>
      <c r="I3" s="11"/>
      <c r="J3" s="11"/>
      <c r="K3" s="11"/>
      <c r="L3" s="11"/>
      <c r="O3" s="49"/>
    </row>
    <row r="4" spans="1:17" ht="15" customHeight="1" x14ac:dyDescent="0.25">
      <c r="B4" s="71" t="str">
        <f>Pengaturan!B4</f>
        <v>Jl. Pameungpeuk – Banjaran (depan pesantren persis)</v>
      </c>
      <c r="C4" s="71"/>
      <c r="D4" s="71"/>
      <c r="E4" s="71"/>
      <c r="F4" s="71"/>
      <c r="G4" s="71"/>
      <c r="H4" s="11" t="s">
        <v>26</v>
      </c>
      <c r="I4" s="59">
        <f>SUM(I11:I1048576)</f>
        <v>0</v>
      </c>
      <c r="J4" s="11"/>
      <c r="K4" s="11" t="s">
        <v>4</v>
      </c>
      <c r="L4" s="8">
        <f ca="1">IFERROR(MAX(No_Transaksi)+1,100001)</f>
        <v>100005</v>
      </c>
      <c r="N4" s="72" t="str">
        <f>B2</f>
        <v>RUMAH MAKAN NASI GORENG</v>
      </c>
      <c r="O4" s="72"/>
      <c r="P4" s="72"/>
      <c r="Q4" s="72"/>
    </row>
    <row r="5" spans="1:17" ht="15.75" customHeight="1" x14ac:dyDescent="0.25">
      <c r="B5" s="71" t="str">
        <f>Pengaturan!A5&amp; " : " &amp;Pengaturan!B5</f>
        <v>Telepon : 85273515243</v>
      </c>
      <c r="C5" s="71"/>
      <c r="D5" s="71"/>
      <c r="E5" s="71"/>
      <c r="F5" s="71"/>
      <c r="G5" s="71"/>
      <c r="H5" s="11" t="s">
        <v>30</v>
      </c>
      <c r="I5" s="60">
        <v>0</v>
      </c>
      <c r="J5" s="11"/>
      <c r="K5" s="13" t="s">
        <v>5</v>
      </c>
      <c r="L5" s="9">
        <f ca="1">TODAY()</f>
        <v>44716</v>
      </c>
      <c r="N5" s="67" t="str">
        <f>B4</f>
        <v>Jl. Pameungpeuk – Banjaran (depan pesantren persis)</v>
      </c>
      <c r="O5" s="67"/>
      <c r="P5" s="67"/>
      <c r="Q5" s="67"/>
    </row>
    <row r="6" spans="1:17" x14ac:dyDescent="0.25">
      <c r="G6" s="11"/>
      <c r="H6" s="11" t="s">
        <v>27</v>
      </c>
      <c r="I6" s="59">
        <f>I4-I5</f>
        <v>0</v>
      </c>
      <c r="J6" s="11"/>
      <c r="K6" s="11" t="s">
        <v>18</v>
      </c>
      <c r="L6" s="32"/>
      <c r="N6" s="67" t="str">
        <f>B5</f>
        <v>Telepon : 85273515243</v>
      </c>
      <c r="O6" s="67"/>
      <c r="P6" s="67"/>
      <c r="Q6" s="67"/>
    </row>
    <row r="7" spans="1:17" x14ac:dyDescent="0.25">
      <c r="G7" s="11"/>
      <c r="H7" s="11" t="s">
        <v>28</v>
      </c>
      <c r="I7" s="60">
        <v>0</v>
      </c>
      <c r="J7" s="11"/>
      <c r="K7" s="11"/>
      <c r="L7" s="28"/>
      <c r="N7" s="65" t="s">
        <v>16</v>
      </c>
      <c r="O7" s="65"/>
      <c r="P7" s="61">
        <v>100002</v>
      </c>
      <c r="Q7" s="62"/>
    </row>
    <row r="8" spans="1:17" x14ac:dyDescent="0.25">
      <c r="G8" s="11"/>
      <c r="H8" s="11" t="s">
        <v>29</v>
      </c>
      <c r="I8" s="59">
        <f>IF(VALUE(I7)=0,0,I7-I6)</f>
        <v>0</v>
      </c>
      <c r="J8" s="30" t="str">
        <f>IF(I8&lt;0,"ERROR","")</f>
        <v/>
      </c>
      <c r="K8" s="11" t="s">
        <v>1</v>
      </c>
      <c r="L8" s="32"/>
      <c r="N8" s="65" t="s">
        <v>24</v>
      </c>
      <c r="O8" s="65"/>
      <c r="P8" s="63" t="str">
        <f ca="1">TEXT(NOW(),"D-MMM-YYYY HH:MM:SS")</f>
        <v>4-Jun-2022 13:12:10</v>
      </c>
      <c r="Q8" s="62"/>
    </row>
    <row r="9" spans="1:17" x14ac:dyDescent="0.25">
      <c r="G9" s="11"/>
      <c r="H9" s="11"/>
      <c r="I9" s="11"/>
      <c r="J9" s="11"/>
      <c r="K9" s="11" t="s">
        <v>2</v>
      </c>
      <c r="L9" s="10" t="str">
        <f>IFERROR(VLOOKUP(L8,'Daftar Barang'!A:H,3,FALSE),"")</f>
        <v/>
      </c>
      <c r="N9" s="66" t="s">
        <v>25</v>
      </c>
      <c r="O9" s="66"/>
      <c r="P9" s="61" t="str">
        <f>Pengaturan!B7</f>
        <v>Dini Fitriani</v>
      </c>
      <c r="Q9" s="62"/>
    </row>
    <row r="10" spans="1:17" x14ac:dyDescent="0.25">
      <c r="A10" s="38"/>
      <c r="B10" s="1" t="s">
        <v>0</v>
      </c>
      <c r="C10" s="2" t="s">
        <v>4</v>
      </c>
      <c r="D10" s="2" t="s">
        <v>5</v>
      </c>
      <c r="E10" s="2" t="s">
        <v>20</v>
      </c>
      <c r="F10" s="2" t="s">
        <v>1</v>
      </c>
      <c r="G10" s="2" t="s">
        <v>2</v>
      </c>
      <c r="H10" s="2" t="s">
        <v>6</v>
      </c>
      <c r="I10" s="3" t="s">
        <v>3</v>
      </c>
      <c r="J10" s="11"/>
      <c r="K10" s="11" t="s">
        <v>6</v>
      </c>
      <c r="L10" s="31"/>
      <c r="N10" s="50" t="s">
        <v>1</v>
      </c>
      <c r="O10" s="50" t="s">
        <v>41</v>
      </c>
      <c r="P10" s="51" t="s">
        <v>2</v>
      </c>
      <c r="Q10" s="51" t="s">
        <v>3</v>
      </c>
    </row>
    <row r="11" spans="1:17" x14ac:dyDescent="0.25">
      <c r="A11" s="38"/>
      <c r="B11" s="33">
        <v>1</v>
      </c>
      <c r="C11" s="34"/>
      <c r="D11" s="35"/>
      <c r="E11" s="35"/>
      <c r="F11" s="34"/>
      <c r="G11" s="36"/>
      <c r="H11" s="36"/>
      <c r="I11" s="36"/>
      <c r="J11" s="11"/>
      <c r="K11" s="11" t="s">
        <v>3</v>
      </c>
      <c r="L11" s="10" t="str">
        <f>IFERROR(L9*L10,"")</f>
        <v/>
      </c>
    </row>
    <row r="12" spans="1:17" x14ac:dyDescent="0.25">
      <c r="A12" s="38"/>
      <c r="B12" s="37" t="str">
        <f t="shared" ref="B12:B43" si="0">IF(F12&lt;&gt;"",B11+1,"")</f>
        <v/>
      </c>
      <c r="C12" s="38"/>
      <c r="D12" s="39"/>
      <c r="E12" s="39"/>
      <c r="F12" s="38"/>
      <c r="G12" s="40"/>
      <c r="H12" s="40"/>
      <c r="I12" s="40"/>
      <c r="J12" s="11"/>
    </row>
    <row r="13" spans="1:17" x14ac:dyDescent="0.25">
      <c r="A13" s="38"/>
      <c r="B13" s="37" t="str">
        <f t="shared" si="0"/>
        <v/>
      </c>
      <c r="C13" s="38"/>
      <c r="D13" s="39"/>
      <c r="E13" s="39"/>
      <c r="F13" s="38"/>
      <c r="G13" s="40"/>
      <c r="H13" s="40"/>
      <c r="I13" s="40"/>
      <c r="J13" s="11"/>
    </row>
    <row r="14" spans="1:17" x14ac:dyDescent="0.25">
      <c r="A14" s="38"/>
      <c r="B14" s="37" t="str">
        <f t="shared" si="0"/>
        <v/>
      </c>
      <c r="C14" s="38"/>
      <c r="D14" s="41"/>
      <c r="E14" s="41"/>
      <c r="F14" s="38"/>
      <c r="G14" s="40"/>
      <c r="H14" s="40"/>
      <c r="I14" s="40"/>
      <c r="J14" s="11"/>
    </row>
    <row r="15" spans="1:17" x14ac:dyDescent="0.25">
      <c r="A15" s="38"/>
      <c r="B15" s="37" t="str">
        <f t="shared" si="0"/>
        <v/>
      </c>
      <c r="C15" s="38"/>
      <c r="D15" s="41"/>
      <c r="E15" s="41"/>
      <c r="F15" s="38"/>
      <c r="G15" s="40"/>
      <c r="H15" s="40"/>
      <c r="I15" s="40"/>
      <c r="J15" s="11"/>
      <c r="K15" s="11" t="s">
        <v>17</v>
      </c>
      <c r="L15" s="14">
        <f>COUNTA(F11:F1048576)</f>
        <v>0</v>
      </c>
    </row>
    <row r="16" spans="1:17" x14ac:dyDescent="0.25">
      <c r="B16" s="37" t="str">
        <f t="shared" si="0"/>
        <v/>
      </c>
      <c r="C16" s="42"/>
      <c r="D16" s="43"/>
      <c r="E16" s="43"/>
      <c r="F16" s="44"/>
      <c r="G16" s="45"/>
      <c r="H16" s="45"/>
      <c r="I16" s="45"/>
    </row>
    <row r="17" spans="2:9" x14ac:dyDescent="0.25">
      <c r="B17" s="37" t="str">
        <f t="shared" si="0"/>
        <v/>
      </c>
      <c r="C17" s="42"/>
      <c r="D17" s="43"/>
      <c r="E17" s="43"/>
      <c r="F17" s="44"/>
      <c r="G17" s="45"/>
      <c r="H17" s="45"/>
      <c r="I17" s="45"/>
    </row>
    <row r="18" spans="2:9" x14ac:dyDescent="0.25">
      <c r="B18" s="37" t="str">
        <f t="shared" si="0"/>
        <v/>
      </c>
      <c r="C18" s="42"/>
      <c r="D18" s="43"/>
      <c r="E18" s="43"/>
      <c r="F18" s="44"/>
      <c r="G18" s="45"/>
      <c r="H18" s="45"/>
      <c r="I18" s="45"/>
    </row>
    <row r="19" spans="2:9" x14ac:dyDescent="0.25">
      <c r="B19" s="37" t="str">
        <f t="shared" si="0"/>
        <v/>
      </c>
      <c r="C19" s="42"/>
      <c r="D19" s="43"/>
      <c r="E19" s="43"/>
      <c r="F19" s="44"/>
      <c r="G19" s="45"/>
      <c r="H19" s="45"/>
      <c r="I19" s="45"/>
    </row>
    <row r="20" spans="2:9" x14ac:dyDescent="0.25">
      <c r="B20" s="37" t="str">
        <f t="shared" si="0"/>
        <v/>
      </c>
      <c r="C20" s="42"/>
      <c r="D20" s="43"/>
      <c r="E20" s="43"/>
      <c r="F20" s="44"/>
      <c r="G20" s="45"/>
      <c r="H20" s="45"/>
      <c r="I20" s="45"/>
    </row>
    <row r="21" spans="2:9" x14ac:dyDescent="0.25">
      <c r="B21" s="37" t="str">
        <f t="shared" si="0"/>
        <v/>
      </c>
      <c r="C21" s="42"/>
      <c r="D21" s="42"/>
      <c r="E21" s="42"/>
      <c r="F21" s="44"/>
      <c r="G21" s="45"/>
      <c r="H21" s="45"/>
      <c r="I21" s="45"/>
    </row>
    <row r="22" spans="2:9" x14ac:dyDescent="0.25">
      <c r="B22" s="37" t="str">
        <f t="shared" si="0"/>
        <v/>
      </c>
      <c r="C22" s="42"/>
      <c r="D22" s="42"/>
      <c r="E22" s="42"/>
      <c r="F22" s="44"/>
      <c r="G22" s="45"/>
      <c r="H22" s="45"/>
      <c r="I22" s="45"/>
    </row>
    <row r="23" spans="2:9" x14ac:dyDescent="0.25">
      <c r="B23" s="37" t="str">
        <f t="shared" si="0"/>
        <v/>
      </c>
      <c r="C23" s="42"/>
      <c r="D23" s="42"/>
      <c r="E23" s="42"/>
      <c r="F23" s="44"/>
      <c r="G23" s="45"/>
      <c r="H23" s="45"/>
      <c r="I23" s="45"/>
    </row>
    <row r="24" spans="2:9" x14ac:dyDescent="0.25">
      <c r="B24" s="37" t="str">
        <f t="shared" si="0"/>
        <v/>
      </c>
      <c r="C24" s="42"/>
      <c r="D24" s="42"/>
      <c r="E24" s="42"/>
      <c r="F24" s="44"/>
      <c r="G24" s="45"/>
      <c r="H24" s="45"/>
      <c r="I24" s="45"/>
    </row>
    <row r="25" spans="2:9" x14ac:dyDescent="0.25">
      <c r="B25" s="37" t="str">
        <f t="shared" si="0"/>
        <v/>
      </c>
      <c r="C25" s="42"/>
      <c r="D25" s="42"/>
      <c r="E25" s="42"/>
      <c r="F25" s="44"/>
      <c r="G25" s="45"/>
      <c r="H25" s="45"/>
      <c r="I25" s="45"/>
    </row>
    <row r="26" spans="2:9" x14ac:dyDescent="0.25">
      <c r="B26" s="37" t="str">
        <f t="shared" si="0"/>
        <v/>
      </c>
      <c r="C26" s="42"/>
      <c r="D26" s="42"/>
      <c r="E26" s="42"/>
      <c r="F26" s="44"/>
      <c r="G26" s="45"/>
      <c r="H26" s="45"/>
      <c r="I26" s="45"/>
    </row>
    <row r="27" spans="2:9" x14ac:dyDescent="0.25">
      <c r="B27" s="37" t="str">
        <f t="shared" si="0"/>
        <v/>
      </c>
      <c r="C27" s="42"/>
      <c r="D27" s="42"/>
      <c r="E27" s="42"/>
      <c r="F27" s="44"/>
      <c r="G27" s="45"/>
      <c r="H27" s="45"/>
      <c r="I27" s="45"/>
    </row>
    <row r="28" spans="2:9" x14ac:dyDescent="0.25">
      <c r="B28" s="37" t="str">
        <f t="shared" si="0"/>
        <v/>
      </c>
      <c r="C28" s="42"/>
      <c r="D28" s="42"/>
      <c r="E28" s="42"/>
      <c r="F28" s="44"/>
      <c r="G28" s="45"/>
      <c r="H28" s="45"/>
      <c r="I28" s="45"/>
    </row>
    <row r="29" spans="2:9" x14ac:dyDescent="0.25">
      <c r="B29" s="37" t="str">
        <f t="shared" si="0"/>
        <v/>
      </c>
      <c r="C29" s="42"/>
      <c r="D29" s="42"/>
      <c r="E29" s="42"/>
      <c r="F29" s="44"/>
      <c r="G29" s="45"/>
      <c r="H29" s="45"/>
      <c r="I29" s="45"/>
    </row>
    <row r="30" spans="2:9" x14ac:dyDescent="0.25">
      <c r="B30" s="37" t="str">
        <f t="shared" si="0"/>
        <v/>
      </c>
      <c r="C30" s="42"/>
      <c r="D30" s="42"/>
      <c r="E30" s="42"/>
      <c r="F30" s="44"/>
      <c r="G30" s="45"/>
      <c r="H30" s="45"/>
      <c r="I30" s="45"/>
    </row>
    <row r="31" spans="2:9" x14ac:dyDescent="0.25">
      <c r="B31" s="37" t="str">
        <f t="shared" si="0"/>
        <v/>
      </c>
      <c r="C31" s="42"/>
      <c r="D31" s="42"/>
      <c r="E31" s="42"/>
      <c r="F31" s="44"/>
      <c r="G31" s="45"/>
      <c r="H31" s="45"/>
      <c r="I31" s="45"/>
    </row>
    <row r="32" spans="2:9" x14ac:dyDescent="0.25">
      <c r="B32" s="37" t="str">
        <f t="shared" si="0"/>
        <v/>
      </c>
      <c r="C32" s="42"/>
      <c r="D32" s="42"/>
      <c r="E32" s="42"/>
      <c r="F32" s="44"/>
      <c r="G32" s="45"/>
      <c r="H32" s="45"/>
      <c r="I32" s="45"/>
    </row>
    <row r="33" spans="2:9" x14ac:dyDescent="0.25">
      <c r="B33" s="37" t="str">
        <f t="shared" si="0"/>
        <v/>
      </c>
      <c r="C33" s="42"/>
      <c r="D33" s="42"/>
      <c r="E33" s="42"/>
      <c r="F33" s="44"/>
      <c r="G33" s="45"/>
      <c r="H33" s="45"/>
      <c r="I33" s="45"/>
    </row>
    <row r="34" spans="2:9" x14ac:dyDescent="0.25">
      <c r="B34" s="37" t="str">
        <f t="shared" si="0"/>
        <v/>
      </c>
      <c r="C34" s="42"/>
      <c r="D34" s="42"/>
      <c r="E34" s="42"/>
      <c r="F34" s="44"/>
      <c r="G34" s="45"/>
      <c r="H34" s="45"/>
      <c r="I34" s="45"/>
    </row>
    <row r="35" spans="2:9" x14ac:dyDescent="0.25">
      <c r="B35" s="37" t="str">
        <f t="shared" si="0"/>
        <v/>
      </c>
      <c r="C35" s="42"/>
      <c r="D35" s="42"/>
      <c r="E35" s="42"/>
      <c r="F35" s="44"/>
      <c r="G35" s="45"/>
      <c r="H35" s="45"/>
      <c r="I35" s="45"/>
    </row>
    <row r="36" spans="2:9" x14ac:dyDescent="0.25">
      <c r="B36" s="37" t="str">
        <f t="shared" si="0"/>
        <v/>
      </c>
      <c r="C36" s="42"/>
      <c r="D36" s="42"/>
      <c r="E36" s="42"/>
      <c r="F36" s="44"/>
      <c r="G36" s="45"/>
      <c r="H36" s="45"/>
      <c r="I36" s="45"/>
    </row>
    <row r="37" spans="2:9" x14ac:dyDescent="0.25">
      <c r="B37" s="37" t="str">
        <f t="shared" si="0"/>
        <v/>
      </c>
      <c r="C37" s="42"/>
      <c r="D37" s="42"/>
      <c r="E37" s="42"/>
      <c r="F37" s="44"/>
      <c r="G37" s="45"/>
      <c r="H37" s="45"/>
      <c r="I37" s="45"/>
    </row>
    <row r="38" spans="2:9" x14ac:dyDescent="0.25">
      <c r="B38" s="37" t="str">
        <f t="shared" si="0"/>
        <v/>
      </c>
      <c r="C38" s="42"/>
      <c r="D38" s="42"/>
      <c r="E38" s="42"/>
      <c r="F38" s="44"/>
      <c r="G38" s="45"/>
      <c r="H38" s="45"/>
      <c r="I38" s="45"/>
    </row>
    <row r="39" spans="2:9" x14ac:dyDescent="0.25">
      <c r="B39" s="37" t="str">
        <f t="shared" si="0"/>
        <v/>
      </c>
      <c r="C39" s="42"/>
      <c r="D39" s="42"/>
      <c r="E39" s="42"/>
      <c r="F39" s="44"/>
      <c r="G39" s="45"/>
      <c r="H39" s="45"/>
      <c r="I39" s="45"/>
    </row>
    <row r="40" spans="2:9" x14ac:dyDescent="0.25">
      <c r="B40" s="37" t="str">
        <f t="shared" si="0"/>
        <v/>
      </c>
      <c r="C40" s="42"/>
      <c r="D40" s="42"/>
      <c r="E40" s="42"/>
      <c r="F40" s="44"/>
      <c r="G40" s="45"/>
      <c r="H40" s="45"/>
      <c r="I40" s="45"/>
    </row>
    <row r="41" spans="2:9" x14ac:dyDescent="0.25">
      <c r="B41" s="37" t="str">
        <f t="shared" si="0"/>
        <v/>
      </c>
      <c r="C41" s="42"/>
      <c r="D41" s="42"/>
      <c r="E41" s="42"/>
      <c r="F41" s="44"/>
      <c r="G41" s="45"/>
      <c r="H41" s="45"/>
      <c r="I41" s="45"/>
    </row>
    <row r="42" spans="2:9" x14ac:dyDescent="0.25">
      <c r="B42" s="37" t="str">
        <f t="shared" si="0"/>
        <v/>
      </c>
      <c r="C42" s="42"/>
      <c r="D42" s="42"/>
      <c r="E42" s="42"/>
      <c r="F42" s="44"/>
      <c r="G42" s="45"/>
      <c r="H42" s="45"/>
      <c r="I42" s="45"/>
    </row>
    <row r="43" spans="2:9" x14ac:dyDescent="0.25">
      <c r="B43" s="37" t="str">
        <f t="shared" si="0"/>
        <v/>
      </c>
      <c r="C43" s="42"/>
      <c r="D43" s="42"/>
      <c r="E43" s="42"/>
      <c r="F43" s="44"/>
      <c r="G43" s="45"/>
      <c r="H43" s="45"/>
      <c r="I43" s="45"/>
    </row>
    <row r="44" spans="2:9" x14ac:dyDescent="0.25">
      <c r="B44" s="37" t="str">
        <f t="shared" ref="B44:B75" si="1">IF(F44&lt;&gt;"",B43+1,"")</f>
        <v/>
      </c>
      <c r="C44" s="42"/>
      <c r="D44" s="42"/>
      <c r="E44" s="42"/>
      <c r="F44" s="44"/>
      <c r="G44" s="45"/>
      <c r="H44" s="45"/>
      <c r="I44" s="45"/>
    </row>
    <row r="45" spans="2:9" x14ac:dyDescent="0.25">
      <c r="B45" s="37" t="str">
        <f t="shared" si="1"/>
        <v/>
      </c>
      <c r="C45" s="42"/>
      <c r="D45" s="42"/>
      <c r="E45" s="42"/>
      <c r="F45" s="44"/>
      <c r="G45" s="45"/>
      <c r="H45" s="45"/>
      <c r="I45" s="45"/>
    </row>
    <row r="46" spans="2:9" x14ac:dyDescent="0.25">
      <c r="B46" s="37" t="str">
        <f t="shared" si="1"/>
        <v/>
      </c>
      <c r="C46" s="42"/>
      <c r="D46" s="42"/>
      <c r="E46" s="42"/>
      <c r="F46" s="44"/>
      <c r="G46" s="45"/>
      <c r="H46" s="45"/>
      <c r="I46" s="45"/>
    </row>
    <row r="47" spans="2:9" x14ac:dyDescent="0.25">
      <c r="B47" s="37" t="str">
        <f t="shared" si="1"/>
        <v/>
      </c>
      <c r="C47" s="42"/>
      <c r="D47" s="42"/>
      <c r="E47" s="42"/>
      <c r="F47" s="44"/>
      <c r="G47" s="45"/>
      <c r="H47" s="45"/>
      <c r="I47" s="45"/>
    </row>
    <row r="48" spans="2:9" x14ac:dyDescent="0.25">
      <c r="B48" s="37" t="str">
        <f t="shared" si="1"/>
        <v/>
      </c>
      <c r="C48" s="42"/>
      <c r="D48" s="42"/>
      <c r="E48" s="42"/>
      <c r="F48" s="44"/>
      <c r="G48" s="45"/>
      <c r="H48" s="45"/>
      <c r="I48" s="45"/>
    </row>
    <row r="49" spans="2:9" x14ac:dyDescent="0.25">
      <c r="B49" s="37" t="str">
        <f t="shared" si="1"/>
        <v/>
      </c>
      <c r="C49" s="42"/>
      <c r="D49" s="42"/>
      <c r="E49" s="42"/>
      <c r="F49" s="44"/>
      <c r="G49" s="45"/>
      <c r="H49" s="45"/>
      <c r="I49" s="45"/>
    </row>
    <row r="50" spans="2:9" x14ac:dyDescent="0.25">
      <c r="B50" s="37" t="str">
        <f t="shared" si="1"/>
        <v/>
      </c>
      <c r="C50" s="42"/>
      <c r="D50" s="42"/>
      <c r="E50" s="42"/>
      <c r="F50" s="44"/>
      <c r="G50" s="45"/>
      <c r="H50" s="45"/>
      <c r="I50" s="45"/>
    </row>
    <row r="51" spans="2:9" x14ac:dyDescent="0.25">
      <c r="B51" s="37" t="str">
        <f t="shared" si="1"/>
        <v/>
      </c>
      <c r="C51" s="42"/>
      <c r="D51" s="42"/>
      <c r="E51" s="42"/>
      <c r="F51" s="44"/>
      <c r="G51" s="45"/>
      <c r="H51" s="45"/>
      <c r="I51" s="45"/>
    </row>
    <row r="52" spans="2:9" x14ac:dyDescent="0.25">
      <c r="B52" s="37" t="str">
        <f t="shared" si="1"/>
        <v/>
      </c>
      <c r="C52" s="42"/>
      <c r="D52" s="42"/>
      <c r="E52" s="42"/>
      <c r="F52" s="44"/>
      <c r="G52" s="45"/>
      <c r="H52" s="45"/>
      <c r="I52" s="45"/>
    </row>
    <row r="53" spans="2:9" x14ac:dyDescent="0.25">
      <c r="B53" s="37" t="str">
        <f t="shared" si="1"/>
        <v/>
      </c>
      <c r="C53" s="42"/>
      <c r="D53" s="42"/>
      <c r="E53" s="42"/>
      <c r="F53" s="44"/>
      <c r="G53" s="45"/>
      <c r="H53" s="45"/>
      <c r="I53" s="45"/>
    </row>
    <row r="54" spans="2:9" x14ac:dyDescent="0.25">
      <c r="B54" s="37" t="str">
        <f t="shared" si="1"/>
        <v/>
      </c>
      <c r="C54" s="42"/>
      <c r="D54" s="42"/>
      <c r="E54" s="42"/>
      <c r="F54" s="44"/>
      <c r="G54" s="45"/>
      <c r="H54" s="45"/>
      <c r="I54" s="45"/>
    </row>
    <row r="55" spans="2:9" x14ac:dyDescent="0.25">
      <c r="B55" s="37" t="str">
        <f t="shared" si="1"/>
        <v/>
      </c>
      <c r="C55" s="42"/>
      <c r="D55" s="42"/>
      <c r="E55" s="42"/>
      <c r="F55" s="44"/>
      <c r="G55" s="45"/>
      <c r="H55" s="45"/>
      <c r="I55" s="45"/>
    </row>
    <row r="56" spans="2:9" x14ac:dyDescent="0.25">
      <c r="B56" s="37" t="str">
        <f t="shared" si="1"/>
        <v/>
      </c>
      <c r="C56" s="42"/>
      <c r="D56" s="42"/>
      <c r="E56" s="42"/>
      <c r="F56" s="44"/>
      <c r="G56" s="45"/>
      <c r="H56" s="45"/>
      <c r="I56" s="45"/>
    </row>
    <row r="57" spans="2:9" x14ac:dyDescent="0.25">
      <c r="B57" s="37" t="str">
        <f t="shared" si="1"/>
        <v/>
      </c>
      <c r="C57" s="42"/>
      <c r="D57" s="42"/>
      <c r="E57" s="42"/>
      <c r="F57" s="44"/>
      <c r="G57" s="45"/>
      <c r="H57" s="45"/>
      <c r="I57" s="45"/>
    </row>
    <row r="58" spans="2:9" x14ac:dyDescent="0.25">
      <c r="B58" s="37" t="str">
        <f t="shared" si="1"/>
        <v/>
      </c>
      <c r="C58" s="42"/>
      <c r="D58" s="42"/>
      <c r="E58" s="42"/>
      <c r="F58" s="44"/>
      <c r="G58" s="45"/>
      <c r="H58" s="45"/>
      <c r="I58" s="45"/>
    </row>
    <row r="59" spans="2:9" x14ac:dyDescent="0.25">
      <c r="B59" s="37" t="str">
        <f t="shared" si="1"/>
        <v/>
      </c>
      <c r="C59" s="42"/>
      <c r="D59" s="42"/>
      <c r="E59" s="42"/>
      <c r="F59" s="44"/>
      <c r="G59" s="45"/>
      <c r="H59" s="45"/>
      <c r="I59" s="45"/>
    </row>
    <row r="60" spans="2:9" x14ac:dyDescent="0.25">
      <c r="B60" s="37" t="str">
        <f t="shared" si="1"/>
        <v/>
      </c>
      <c r="C60" s="42"/>
      <c r="D60" s="42"/>
      <c r="E60" s="42"/>
      <c r="F60" s="44"/>
      <c r="G60" s="45"/>
      <c r="H60" s="45"/>
      <c r="I60" s="45"/>
    </row>
    <row r="61" spans="2:9" x14ac:dyDescent="0.25">
      <c r="B61" s="37" t="str">
        <f t="shared" si="1"/>
        <v/>
      </c>
      <c r="C61" s="42"/>
      <c r="D61" s="42"/>
      <c r="E61" s="42"/>
      <c r="F61" s="44"/>
      <c r="G61" s="45"/>
      <c r="H61" s="45"/>
      <c r="I61" s="45"/>
    </row>
    <row r="62" spans="2:9" x14ac:dyDescent="0.25">
      <c r="B62" s="37" t="str">
        <f t="shared" si="1"/>
        <v/>
      </c>
      <c r="C62" s="42"/>
      <c r="D62" s="42"/>
      <c r="E62" s="42"/>
      <c r="F62" s="44"/>
      <c r="G62" s="45"/>
      <c r="H62" s="45"/>
      <c r="I62" s="45"/>
    </row>
    <row r="63" spans="2:9" x14ac:dyDescent="0.25">
      <c r="B63" s="37" t="str">
        <f t="shared" si="1"/>
        <v/>
      </c>
      <c r="C63" s="42"/>
      <c r="D63" s="42"/>
      <c r="E63" s="42"/>
      <c r="F63" s="44"/>
      <c r="G63" s="45"/>
      <c r="H63" s="45"/>
      <c r="I63" s="45"/>
    </row>
    <row r="64" spans="2:9" x14ac:dyDescent="0.25">
      <c r="B64" s="37" t="str">
        <f t="shared" si="1"/>
        <v/>
      </c>
      <c r="C64" s="42"/>
      <c r="D64" s="42"/>
      <c r="E64" s="42"/>
      <c r="F64" s="44"/>
      <c r="G64" s="45"/>
      <c r="H64" s="45"/>
      <c r="I64" s="45"/>
    </row>
    <row r="65" spans="2:9" x14ac:dyDescent="0.25">
      <c r="B65" s="37" t="str">
        <f t="shared" si="1"/>
        <v/>
      </c>
      <c r="C65" s="42"/>
      <c r="D65" s="42"/>
      <c r="E65" s="42"/>
      <c r="F65" s="44"/>
      <c r="G65" s="45"/>
      <c r="H65" s="45"/>
      <c r="I65" s="45"/>
    </row>
    <row r="66" spans="2:9" x14ac:dyDescent="0.25">
      <c r="B66" s="37" t="str">
        <f t="shared" si="1"/>
        <v/>
      </c>
      <c r="C66" s="42"/>
      <c r="D66" s="42"/>
      <c r="E66" s="42"/>
      <c r="F66" s="44"/>
      <c r="G66" s="45"/>
      <c r="H66" s="45"/>
      <c r="I66" s="45"/>
    </row>
    <row r="67" spans="2:9" x14ac:dyDescent="0.25">
      <c r="B67" s="37" t="str">
        <f t="shared" si="1"/>
        <v/>
      </c>
      <c r="C67" s="42"/>
      <c r="D67" s="42"/>
      <c r="E67" s="42"/>
      <c r="F67" s="44"/>
      <c r="G67" s="45"/>
      <c r="H67" s="45"/>
      <c r="I67" s="45"/>
    </row>
    <row r="68" spans="2:9" x14ac:dyDescent="0.25">
      <c r="B68" s="37" t="str">
        <f t="shared" si="1"/>
        <v/>
      </c>
      <c r="C68" s="42"/>
      <c r="D68" s="42"/>
      <c r="E68" s="42"/>
      <c r="F68" s="44"/>
      <c r="G68" s="45"/>
      <c r="H68" s="45"/>
      <c r="I68" s="45"/>
    </row>
    <row r="69" spans="2:9" x14ac:dyDescent="0.25">
      <c r="B69" s="37" t="str">
        <f t="shared" si="1"/>
        <v/>
      </c>
      <c r="C69" s="42"/>
      <c r="D69" s="42"/>
      <c r="E69" s="42"/>
      <c r="F69" s="44"/>
      <c r="G69" s="45"/>
      <c r="H69" s="45"/>
      <c r="I69" s="45"/>
    </row>
    <row r="70" spans="2:9" x14ac:dyDescent="0.25">
      <c r="B70" s="37" t="str">
        <f t="shared" si="1"/>
        <v/>
      </c>
      <c r="C70" s="42"/>
      <c r="D70" s="42"/>
      <c r="E70" s="42"/>
      <c r="F70" s="44"/>
      <c r="G70" s="45"/>
      <c r="H70" s="45"/>
      <c r="I70" s="45"/>
    </row>
    <row r="71" spans="2:9" x14ac:dyDescent="0.25">
      <c r="B71" s="37" t="str">
        <f t="shared" si="1"/>
        <v/>
      </c>
      <c r="C71" s="42"/>
      <c r="D71" s="42"/>
      <c r="E71" s="42"/>
      <c r="F71" s="44"/>
      <c r="G71" s="45"/>
      <c r="H71" s="45"/>
      <c r="I71" s="45"/>
    </row>
    <row r="72" spans="2:9" x14ac:dyDescent="0.25">
      <c r="B72" s="37" t="str">
        <f t="shared" si="1"/>
        <v/>
      </c>
      <c r="C72" s="42"/>
      <c r="D72" s="42"/>
      <c r="E72" s="42"/>
      <c r="F72" s="44"/>
      <c r="G72" s="45"/>
      <c r="H72" s="45"/>
      <c r="I72" s="45"/>
    </row>
    <row r="73" spans="2:9" x14ac:dyDescent="0.25">
      <c r="B73" s="37" t="str">
        <f t="shared" si="1"/>
        <v/>
      </c>
      <c r="C73" s="42"/>
      <c r="D73" s="42"/>
      <c r="E73" s="42"/>
      <c r="F73" s="44"/>
      <c r="G73" s="45"/>
      <c r="H73" s="45"/>
      <c r="I73" s="45"/>
    </row>
    <row r="74" spans="2:9" x14ac:dyDescent="0.25">
      <c r="B74" s="37" t="str">
        <f t="shared" si="1"/>
        <v/>
      </c>
      <c r="C74" s="42"/>
      <c r="D74" s="42"/>
      <c r="E74" s="42"/>
      <c r="F74" s="44"/>
      <c r="G74" s="45"/>
      <c r="H74" s="45"/>
      <c r="I74" s="45"/>
    </row>
    <row r="75" spans="2:9" x14ac:dyDescent="0.25">
      <c r="B75" s="37" t="str">
        <f t="shared" si="1"/>
        <v/>
      </c>
      <c r="C75" s="42"/>
      <c r="D75" s="42"/>
      <c r="E75" s="42"/>
      <c r="F75" s="44"/>
      <c r="G75" s="45"/>
      <c r="H75" s="45"/>
      <c r="I75" s="45"/>
    </row>
    <row r="76" spans="2:9" x14ac:dyDescent="0.25">
      <c r="B76" s="37" t="str">
        <f t="shared" ref="B76:B110" si="2">IF(F76&lt;&gt;"",B75+1,"")</f>
        <v/>
      </c>
      <c r="C76" s="42"/>
      <c r="D76" s="42"/>
      <c r="E76" s="42"/>
      <c r="F76" s="44"/>
      <c r="G76" s="45"/>
      <c r="H76" s="45"/>
      <c r="I76" s="45"/>
    </row>
    <row r="77" spans="2:9" x14ac:dyDescent="0.25">
      <c r="B77" s="37" t="str">
        <f t="shared" si="2"/>
        <v/>
      </c>
      <c r="C77" s="42"/>
      <c r="D77" s="42"/>
      <c r="E77" s="42"/>
      <c r="F77" s="44"/>
      <c r="G77" s="45"/>
      <c r="H77" s="45"/>
      <c r="I77" s="45"/>
    </row>
    <row r="78" spans="2:9" x14ac:dyDescent="0.25">
      <c r="B78" s="37" t="str">
        <f t="shared" si="2"/>
        <v/>
      </c>
      <c r="C78" s="42"/>
      <c r="D78" s="42"/>
      <c r="E78" s="42"/>
      <c r="F78" s="44"/>
      <c r="G78" s="45"/>
      <c r="H78" s="45"/>
      <c r="I78" s="45"/>
    </row>
    <row r="79" spans="2:9" x14ac:dyDescent="0.25">
      <c r="B79" s="37" t="str">
        <f t="shared" si="2"/>
        <v/>
      </c>
      <c r="C79" s="42"/>
      <c r="D79" s="42"/>
      <c r="E79" s="42"/>
      <c r="F79" s="44"/>
      <c r="G79" s="45"/>
      <c r="H79" s="45"/>
      <c r="I79" s="45"/>
    </row>
    <row r="80" spans="2:9" x14ac:dyDescent="0.25">
      <c r="B80" s="37" t="str">
        <f t="shared" si="2"/>
        <v/>
      </c>
      <c r="C80" s="42"/>
      <c r="D80" s="42"/>
      <c r="E80" s="42"/>
      <c r="F80" s="44"/>
      <c r="G80" s="45"/>
      <c r="H80" s="45"/>
      <c r="I80" s="45"/>
    </row>
    <row r="81" spans="2:9" x14ac:dyDescent="0.25">
      <c r="B81" s="37" t="str">
        <f t="shared" si="2"/>
        <v/>
      </c>
      <c r="C81" s="42"/>
      <c r="D81" s="42"/>
      <c r="E81" s="42"/>
      <c r="F81" s="44"/>
      <c r="G81" s="45"/>
      <c r="H81" s="45"/>
      <c r="I81" s="45"/>
    </row>
    <row r="82" spans="2:9" x14ac:dyDescent="0.25">
      <c r="B82" s="37" t="str">
        <f t="shared" si="2"/>
        <v/>
      </c>
      <c r="C82" s="42"/>
      <c r="D82" s="42"/>
      <c r="E82" s="42"/>
      <c r="F82" s="44"/>
      <c r="G82" s="45"/>
      <c r="H82" s="45"/>
      <c r="I82" s="45"/>
    </row>
    <row r="83" spans="2:9" x14ac:dyDescent="0.25">
      <c r="B83" s="37" t="str">
        <f t="shared" si="2"/>
        <v/>
      </c>
      <c r="C83" s="42"/>
      <c r="D83" s="42"/>
      <c r="E83" s="42"/>
      <c r="F83" s="44"/>
      <c r="G83" s="45"/>
      <c r="H83" s="45"/>
      <c r="I83" s="45"/>
    </row>
    <row r="84" spans="2:9" x14ac:dyDescent="0.25">
      <c r="B84" s="37" t="str">
        <f t="shared" si="2"/>
        <v/>
      </c>
      <c r="C84" s="42"/>
      <c r="D84" s="42"/>
      <c r="E84" s="42"/>
      <c r="F84" s="44"/>
      <c r="G84" s="45"/>
      <c r="H84" s="45"/>
      <c r="I84" s="45"/>
    </row>
    <row r="85" spans="2:9" x14ac:dyDescent="0.25">
      <c r="B85" s="37" t="str">
        <f t="shared" si="2"/>
        <v/>
      </c>
      <c r="C85" s="42"/>
      <c r="D85" s="42"/>
      <c r="E85" s="42"/>
      <c r="F85" s="44"/>
      <c r="G85" s="45"/>
      <c r="H85" s="45"/>
      <c r="I85" s="45"/>
    </row>
    <row r="86" spans="2:9" x14ac:dyDescent="0.25">
      <c r="B86" s="37" t="str">
        <f t="shared" si="2"/>
        <v/>
      </c>
      <c r="C86" s="42"/>
      <c r="D86" s="42"/>
      <c r="E86" s="42"/>
      <c r="F86" s="44"/>
      <c r="G86" s="45"/>
      <c r="H86" s="45"/>
      <c r="I86" s="45"/>
    </row>
    <row r="87" spans="2:9" x14ac:dyDescent="0.25">
      <c r="B87" s="37" t="str">
        <f t="shared" si="2"/>
        <v/>
      </c>
      <c r="C87" s="42"/>
      <c r="D87" s="42"/>
      <c r="E87" s="42"/>
      <c r="F87" s="44"/>
      <c r="G87" s="45"/>
      <c r="H87" s="45"/>
      <c r="I87" s="45"/>
    </row>
    <row r="88" spans="2:9" x14ac:dyDescent="0.25">
      <c r="B88" s="37" t="str">
        <f t="shared" si="2"/>
        <v/>
      </c>
      <c r="C88" s="42"/>
      <c r="D88" s="42"/>
      <c r="E88" s="42"/>
      <c r="F88" s="44"/>
      <c r="G88" s="45"/>
      <c r="H88" s="45"/>
      <c r="I88" s="45"/>
    </row>
    <row r="89" spans="2:9" x14ac:dyDescent="0.25">
      <c r="B89" s="37" t="str">
        <f t="shared" si="2"/>
        <v/>
      </c>
      <c r="C89" s="42"/>
      <c r="D89" s="42"/>
      <c r="E89" s="42"/>
      <c r="F89" s="44"/>
      <c r="G89" s="45"/>
      <c r="H89" s="45"/>
      <c r="I89" s="45"/>
    </row>
    <row r="90" spans="2:9" x14ac:dyDescent="0.25">
      <c r="B90" s="37" t="str">
        <f t="shared" si="2"/>
        <v/>
      </c>
      <c r="C90" s="42"/>
      <c r="D90" s="42"/>
      <c r="E90" s="42"/>
      <c r="F90" s="44"/>
      <c r="G90" s="45"/>
      <c r="H90" s="45"/>
      <c r="I90" s="45"/>
    </row>
    <row r="91" spans="2:9" x14ac:dyDescent="0.25">
      <c r="B91" s="37" t="str">
        <f t="shared" si="2"/>
        <v/>
      </c>
      <c r="C91" s="42"/>
      <c r="D91" s="42"/>
      <c r="E91" s="42"/>
      <c r="F91" s="44"/>
      <c r="G91" s="45"/>
      <c r="H91" s="45"/>
      <c r="I91" s="45"/>
    </row>
    <row r="92" spans="2:9" x14ac:dyDescent="0.25">
      <c r="B92" s="37" t="str">
        <f t="shared" si="2"/>
        <v/>
      </c>
      <c r="C92" s="42"/>
      <c r="D92" s="42"/>
      <c r="E92" s="42"/>
      <c r="F92" s="44"/>
      <c r="G92" s="45"/>
      <c r="H92" s="45"/>
      <c r="I92" s="45"/>
    </row>
    <row r="93" spans="2:9" x14ac:dyDescent="0.25">
      <c r="B93" s="37" t="str">
        <f t="shared" si="2"/>
        <v/>
      </c>
      <c r="C93" s="42"/>
      <c r="D93" s="42"/>
      <c r="E93" s="42"/>
      <c r="F93" s="44"/>
      <c r="G93" s="45"/>
      <c r="H93" s="45"/>
      <c r="I93" s="45"/>
    </row>
    <row r="94" spans="2:9" x14ac:dyDescent="0.25">
      <c r="B94" s="37" t="str">
        <f t="shared" si="2"/>
        <v/>
      </c>
      <c r="C94" s="42"/>
      <c r="D94" s="42"/>
      <c r="E94" s="42"/>
      <c r="F94" s="44"/>
      <c r="G94" s="45"/>
      <c r="H94" s="45"/>
      <c r="I94" s="45"/>
    </row>
    <row r="95" spans="2:9" x14ac:dyDescent="0.25">
      <c r="B95" s="37" t="str">
        <f t="shared" si="2"/>
        <v/>
      </c>
      <c r="C95" s="42"/>
      <c r="D95" s="42"/>
      <c r="E95" s="42"/>
      <c r="F95" s="44"/>
      <c r="G95" s="45"/>
      <c r="H95" s="45"/>
      <c r="I95" s="45"/>
    </row>
    <row r="96" spans="2:9" x14ac:dyDescent="0.25">
      <c r="B96" s="37" t="str">
        <f t="shared" si="2"/>
        <v/>
      </c>
      <c r="C96" s="42"/>
      <c r="D96" s="42"/>
      <c r="E96" s="42"/>
      <c r="F96" s="44"/>
      <c r="G96" s="45"/>
      <c r="H96" s="45"/>
      <c r="I96" s="45"/>
    </row>
    <row r="97" spans="2:9" x14ac:dyDescent="0.25">
      <c r="B97" s="37" t="str">
        <f t="shared" si="2"/>
        <v/>
      </c>
      <c r="C97" s="42"/>
      <c r="D97" s="42"/>
      <c r="E97" s="42"/>
      <c r="F97" s="44"/>
      <c r="G97" s="45"/>
      <c r="H97" s="45"/>
      <c r="I97" s="45"/>
    </row>
    <row r="98" spans="2:9" x14ac:dyDescent="0.25">
      <c r="B98" s="37" t="str">
        <f t="shared" si="2"/>
        <v/>
      </c>
      <c r="C98" s="42"/>
      <c r="D98" s="42"/>
      <c r="E98" s="42"/>
      <c r="F98" s="44"/>
      <c r="G98" s="45"/>
      <c r="H98" s="45"/>
      <c r="I98" s="45"/>
    </row>
    <row r="99" spans="2:9" x14ac:dyDescent="0.25">
      <c r="B99" s="37" t="str">
        <f t="shared" si="2"/>
        <v/>
      </c>
      <c r="C99" s="42"/>
      <c r="D99" s="42"/>
      <c r="E99" s="42"/>
      <c r="F99" s="44"/>
      <c r="G99" s="45"/>
      <c r="H99" s="45"/>
      <c r="I99" s="45"/>
    </row>
    <row r="100" spans="2:9" x14ac:dyDescent="0.25">
      <c r="B100" s="37" t="str">
        <f t="shared" si="2"/>
        <v/>
      </c>
      <c r="C100" s="42"/>
      <c r="D100" s="42"/>
      <c r="E100" s="42"/>
      <c r="F100" s="44"/>
      <c r="G100" s="45"/>
      <c r="H100" s="45"/>
      <c r="I100" s="45"/>
    </row>
    <row r="101" spans="2:9" x14ac:dyDescent="0.25">
      <c r="B101" s="37" t="str">
        <f t="shared" si="2"/>
        <v/>
      </c>
      <c r="C101" s="42"/>
      <c r="D101" s="42"/>
      <c r="E101" s="42"/>
      <c r="F101" s="44"/>
      <c r="G101" s="45"/>
      <c r="H101" s="45"/>
      <c r="I101" s="45"/>
    </row>
    <row r="102" spans="2:9" x14ac:dyDescent="0.25">
      <c r="B102" s="37" t="str">
        <f t="shared" si="2"/>
        <v/>
      </c>
      <c r="C102" s="42"/>
      <c r="D102" s="42"/>
      <c r="E102" s="42"/>
      <c r="F102" s="44"/>
      <c r="G102" s="45"/>
      <c r="H102" s="45"/>
      <c r="I102" s="45"/>
    </row>
    <row r="103" spans="2:9" x14ac:dyDescent="0.25">
      <c r="B103" s="37" t="str">
        <f t="shared" si="2"/>
        <v/>
      </c>
      <c r="C103" s="42"/>
      <c r="D103" s="42"/>
      <c r="E103" s="42"/>
      <c r="F103" s="44"/>
      <c r="G103" s="45"/>
      <c r="H103" s="45"/>
      <c r="I103" s="45"/>
    </row>
    <row r="104" spans="2:9" x14ac:dyDescent="0.25">
      <c r="B104" s="37" t="str">
        <f t="shared" si="2"/>
        <v/>
      </c>
      <c r="C104" s="42"/>
      <c r="D104" s="42"/>
      <c r="E104" s="42"/>
      <c r="F104" s="44"/>
      <c r="G104" s="45"/>
      <c r="H104" s="45"/>
      <c r="I104" s="45"/>
    </row>
    <row r="105" spans="2:9" x14ac:dyDescent="0.25">
      <c r="B105" s="37" t="str">
        <f t="shared" si="2"/>
        <v/>
      </c>
      <c r="C105" s="42"/>
      <c r="D105" s="42"/>
      <c r="E105" s="42"/>
      <c r="F105" s="44"/>
      <c r="G105" s="45"/>
      <c r="H105" s="45"/>
      <c r="I105" s="45"/>
    </row>
    <row r="106" spans="2:9" x14ac:dyDescent="0.25">
      <c r="B106" s="37" t="str">
        <f t="shared" si="2"/>
        <v/>
      </c>
      <c r="C106" s="42"/>
      <c r="D106" s="42"/>
      <c r="E106" s="42"/>
      <c r="F106" s="44"/>
      <c r="G106" s="45"/>
      <c r="H106" s="45"/>
      <c r="I106" s="45"/>
    </row>
    <row r="107" spans="2:9" x14ac:dyDescent="0.25">
      <c r="B107" s="37" t="str">
        <f t="shared" si="2"/>
        <v/>
      </c>
      <c r="C107" s="42"/>
      <c r="D107" s="42"/>
      <c r="E107" s="42"/>
      <c r="F107" s="44"/>
      <c r="G107" s="45"/>
      <c r="H107" s="45"/>
      <c r="I107" s="45"/>
    </row>
    <row r="108" spans="2:9" x14ac:dyDescent="0.25">
      <c r="B108" s="37" t="str">
        <f t="shared" si="2"/>
        <v/>
      </c>
      <c r="C108" s="42"/>
      <c r="D108" s="42"/>
      <c r="E108" s="42"/>
      <c r="F108" s="44"/>
      <c r="G108" s="45"/>
      <c r="H108" s="45"/>
      <c r="I108" s="45"/>
    </row>
    <row r="109" spans="2:9" x14ac:dyDescent="0.25">
      <c r="B109" s="37" t="str">
        <f t="shared" si="2"/>
        <v/>
      </c>
      <c r="C109" s="42"/>
      <c r="D109" s="42"/>
      <c r="E109" s="42"/>
      <c r="F109" s="44"/>
      <c r="G109" s="45"/>
      <c r="H109" s="45"/>
      <c r="I109" s="45"/>
    </row>
    <row r="110" spans="2:9" x14ac:dyDescent="0.25">
      <c r="B110" s="37" t="str">
        <f t="shared" si="2"/>
        <v/>
      </c>
      <c r="C110" s="42"/>
      <c r="D110" s="42"/>
      <c r="E110" s="42"/>
      <c r="F110" s="42"/>
      <c r="G110" s="45"/>
      <c r="H110" s="45"/>
      <c r="I110" s="45"/>
    </row>
  </sheetData>
  <sheetProtection sheet="1" objects="1" scenarios="1"/>
  <mergeCells count="10">
    <mergeCell ref="N7:O7"/>
    <mergeCell ref="N8:O8"/>
    <mergeCell ref="N9:O9"/>
    <mergeCell ref="N6:Q6"/>
    <mergeCell ref="B2:I2"/>
    <mergeCell ref="B4:G4"/>
    <mergeCell ref="B5:G5"/>
    <mergeCell ref="N4:Q4"/>
    <mergeCell ref="N5:Q5"/>
    <mergeCell ref="K2:L2"/>
  </mergeCells>
  <conditionalFormatting sqref="B11:I110">
    <cfRule type="expression" dxfId="8" priority="3">
      <formula>$B11&lt;&gt;""</formula>
    </cfRule>
  </conditionalFormatting>
  <conditionalFormatting sqref="N11:Q99999">
    <cfRule type="expression" dxfId="7" priority="1">
      <formula>$P11="Total:"</formula>
    </cfRule>
    <cfRule type="expression" dxfId="6" priority="2">
      <formula>$P11="Subtotal:"</formula>
    </cfRule>
  </conditionalFormatting>
  <dataValidations count="2">
    <dataValidation type="list" allowBlank="1" showInputMessage="1" showErrorMessage="1" error="Silahkan isi Nama Barang berdasarkan data yang diambil di Sheet Daftar Barang" sqref="L8" xr:uid="{00000000-0002-0000-0000-000000000000}">
      <formula1>Nama_Barang</formula1>
    </dataValidation>
    <dataValidation type="list" allowBlank="1" showInputMessage="1" showErrorMessage="1" error="Silahkan isi Nama Pelanggan berdasarkan data yang diambil di Sheet Daftar Pelanggan" sqref="L6" xr:uid="{00000000-0002-0000-0000-000001000000}">
      <formula1>Nama_Pelanggan</formula1>
    </dataValidation>
  </dataValidations>
  <pageMargins left="0" right="0.7" top="0.1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996"/>
  <sheetViews>
    <sheetView showGridLines="0" zoomScale="89" zoomScaleNormal="89" workbookViewId="0">
      <pane ySplit="2" topLeftCell="A3" activePane="bottomLeft" state="frozen"/>
      <selection pane="bottomLeft" activeCell="A11" sqref="A11:XFD11"/>
    </sheetView>
  </sheetViews>
  <sheetFormatPr defaultRowHeight="15" x14ac:dyDescent="0.25"/>
  <cols>
    <col min="1" max="1" width="26.42578125" style="42" customWidth="1"/>
    <col min="2" max="3" width="11.85546875" style="57" customWidth="1"/>
    <col min="4" max="4" width="10.28515625" style="57" customWidth="1"/>
    <col min="5" max="6" width="10.28515625" style="58" customWidth="1"/>
    <col min="7" max="7" width="11.28515625" style="58" bestFit="1" customWidth="1"/>
    <col min="8" max="8" width="11.85546875" style="58" bestFit="1" customWidth="1"/>
  </cols>
  <sheetData>
    <row r="1" spans="1:8" ht="15.75" x14ac:dyDescent="0.25">
      <c r="A1" s="74" t="s">
        <v>7</v>
      </c>
      <c r="B1" s="74"/>
      <c r="C1" s="74"/>
      <c r="D1" s="74"/>
      <c r="E1" s="74"/>
      <c r="F1" s="74"/>
      <c r="G1" s="74"/>
      <c r="H1" s="74"/>
    </row>
    <row r="2" spans="1:8" x14ac:dyDescent="0.25">
      <c r="A2" s="18" t="s">
        <v>1</v>
      </c>
      <c r="B2" s="18" t="s">
        <v>8</v>
      </c>
      <c r="C2" s="18" t="s">
        <v>9</v>
      </c>
      <c r="D2" s="18" t="s">
        <v>10</v>
      </c>
      <c r="E2" s="18" t="s">
        <v>11</v>
      </c>
      <c r="F2" s="18" t="s">
        <v>12</v>
      </c>
      <c r="G2" s="18" t="s">
        <v>13</v>
      </c>
      <c r="H2" s="18" t="s">
        <v>14</v>
      </c>
    </row>
    <row r="3" spans="1:8" x14ac:dyDescent="0.25">
      <c r="A3" s="52" t="s">
        <v>49</v>
      </c>
      <c r="B3" s="53"/>
      <c r="C3" s="53">
        <v>12000</v>
      </c>
      <c r="D3" s="53">
        <v>50</v>
      </c>
      <c r="E3" s="54">
        <f>IF(A3="","",SUMIF('Daftar Transaksi'!D:D,A3,'Daftar Transaksi'!F:F))</f>
        <v>10</v>
      </c>
      <c r="F3" s="54">
        <f t="shared" ref="F3:F62" si="0">IF(A3="","",D3-E3)</f>
        <v>40</v>
      </c>
      <c r="G3" s="54">
        <f t="shared" ref="G3:G62" si="1">IF(A3="","",C3*E3)</f>
        <v>120000</v>
      </c>
      <c r="H3" s="54">
        <f t="shared" ref="H3:H62" si="2">IF(A3="","",G3-(B3*E3))</f>
        <v>120000</v>
      </c>
    </row>
    <row r="4" spans="1:8" x14ac:dyDescent="0.25">
      <c r="A4" s="52" t="s">
        <v>50</v>
      </c>
      <c r="B4" s="53"/>
      <c r="C4" s="53">
        <v>13000</v>
      </c>
      <c r="D4" s="53">
        <v>50</v>
      </c>
      <c r="E4" s="54">
        <f>IF(A4="","",SUMIF('Daftar Transaksi'!D:D,A4,'Daftar Transaksi'!F:F))</f>
        <v>0</v>
      </c>
      <c r="F4" s="54">
        <f t="shared" si="0"/>
        <v>50</v>
      </c>
      <c r="G4" s="54">
        <f t="shared" si="1"/>
        <v>0</v>
      </c>
      <c r="H4" s="54">
        <f t="shared" si="2"/>
        <v>0</v>
      </c>
    </row>
    <row r="5" spans="1:8" x14ac:dyDescent="0.25">
      <c r="A5" s="52" t="s">
        <v>51</v>
      </c>
      <c r="B5" s="53"/>
      <c r="C5" s="53">
        <v>16000</v>
      </c>
      <c r="D5" s="53">
        <v>50</v>
      </c>
      <c r="E5" s="54">
        <f>IF(A5="","",SUMIF('Daftar Transaksi'!D:D,A5,'Daftar Transaksi'!F:F))</f>
        <v>0</v>
      </c>
      <c r="F5" s="54">
        <f t="shared" si="0"/>
        <v>50</v>
      </c>
      <c r="G5" s="54">
        <f t="shared" si="1"/>
        <v>0</v>
      </c>
      <c r="H5" s="54">
        <f t="shared" si="2"/>
        <v>0</v>
      </c>
    </row>
    <row r="6" spans="1:8" x14ac:dyDescent="0.25">
      <c r="A6" s="52" t="s">
        <v>52</v>
      </c>
      <c r="B6" s="53"/>
      <c r="C6" s="53">
        <v>14000</v>
      </c>
      <c r="D6" s="53">
        <v>50</v>
      </c>
      <c r="E6" s="54">
        <f>IF(A6="","",SUMIF('Daftar Transaksi'!D:D,A6,'Daftar Transaksi'!F:F))</f>
        <v>3</v>
      </c>
      <c r="F6" s="54">
        <f t="shared" si="0"/>
        <v>47</v>
      </c>
      <c r="G6" s="54">
        <f t="shared" si="1"/>
        <v>42000</v>
      </c>
      <c r="H6" s="54">
        <f t="shared" si="2"/>
        <v>42000</v>
      </c>
    </row>
    <row r="7" spans="1:8" x14ac:dyDescent="0.25">
      <c r="A7" s="52" t="s">
        <v>53</v>
      </c>
      <c r="B7" s="53"/>
      <c r="C7" s="53">
        <v>15000</v>
      </c>
      <c r="D7" s="53">
        <v>50</v>
      </c>
      <c r="E7" s="54">
        <f>IF(A7="","",SUMIF('Daftar Transaksi'!D:D,A7,'Daftar Transaksi'!F:F))</f>
        <v>2</v>
      </c>
      <c r="F7" s="54">
        <f t="shared" si="0"/>
        <v>48</v>
      </c>
      <c r="G7" s="54">
        <f t="shared" si="1"/>
        <v>30000</v>
      </c>
      <c r="H7" s="54">
        <f t="shared" si="2"/>
        <v>30000</v>
      </c>
    </row>
    <row r="8" spans="1:8" x14ac:dyDescent="0.25">
      <c r="A8" s="52" t="s">
        <v>54</v>
      </c>
      <c r="B8" s="53"/>
      <c r="C8" s="53">
        <v>15000</v>
      </c>
      <c r="D8" s="53">
        <v>50</v>
      </c>
      <c r="E8" s="54">
        <f>IF(A8="","",SUMIF('Daftar Transaksi'!D:D,A8,'Daftar Transaksi'!F:F))</f>
        <v>0</v>
      </c>
      <c r="F8" s="54">
        <f t="shared" si="0"/>
        <v>50</v>
      </c>
      <c r="G8" s="54">
        <f t="shared" si="1"/>
        <v>0</v>
      </c>
      <c r="H8" s="54">
        <f t="shared" si="2"/>
        <v>0</v>
      </c>
    </row>
    <row r="9" spans="1:8" x14ac:dyDescent="0.25">
      <c r="A9" s="44" t="s">
        <v>55</v>
      </c>
      <c r="B9" s="55"/>
      <c r="C9" s="55">
        <v>18000</v>
      </c>
      <c r="D9" s="53">
        <v>50</v>
      </c>
      <c r="E9" s="54">
        <f>IF(A9="","",SUMIF('Daftar Transaksi'!D:D,A9,'Daftar Transaksi'!F:F))</f>
        <v>0</v>
      </c>
      <c r="F9" s="54">
        <f t="shared" si="0"/>
        <v>50</v>
      </c>
      <c r="G9" s="54">
        <f t="shared" si="1"/>
        <v>0</v>
      </c>
      <c r="H9" s="54">
        <f t="shared" si="2"/>
        <v>0</v>
      </c>
    </row>
    <row r="10" spans="1:8" x14ac:dyDescent="0.25">
      <c r="A10" s="44" t="s">
        <v>56</v>
      </c>
      <c r="B10" s="56"/>
      <c r="C10" s="57">
        <v>18000</v>
      </c>
      <c r="D10" s="53">
        <v>50</v>
      </c>
      <c r="E10" s="54">
        <f>IF(A10="","",SUMIF('Daftar Transaksi'!D:D,A10,'Daftar Transaksi'!F:F))</f>
        <v>0</v>
      </c>
      <c r="F10" s="54">
        <f t="shared" si="0"/>
        <v>50</v>
      </c>
      <c r="G10" s="54">
        <f t="shared" si="1"/>
        <v>0</v>
      </c>
      <c r="H10" s="54">
        <f t="shared" si="2"/>
        <v>0</v>
      </c>
    </row>
    <row r="11" spans="1:8" x14ac:dyDescent="0.25">
      <c r="A11" s="44" t="s">
        <v>57</v>
      </c>
      <c r="B11" s="56"/>
      <c r="C11" s="57">
        <v>15000</v>
      </c>
      <c r="D11" s="53">
        <v>50</v>
      </c>
      <c r="E11" s="54">
        <f>IF(A11="","",SUMIF('Daftar Transaksi'!D:D,A11,'Daftar Transaksi'!F:F))</f>
        <v>0</v>
      </c>
      <c r="F11" s="54">
        <f t="shared" si="0"/>
        <v>50</v>
      </c>
      <c r="G11" s="54">
        <f t="shared" si="1"/>
        <v>0</v>
      </c>
      <c r="H11" s="54">
        <f t="shared" si="2"/>
        <v>0</v>
      </c>
    </row>
    <row r="12" spans="1:8" x14ac:dyDescent="0.25">
      <c r="A12" s="44" t="s">
        <v>58</v>
      </c>
      <c r="C12" s="57">
        <v>15000</v>
      </c>
      <c r="D12" s="53">
        <v>50</v>
      </c>
      <c r="E12" s="54">
        <f>IF(A12="","",SUMIF('Daftar Transaksi'!D:D,A12,'Daftar Transaksi'!F:F))</f>
        <v>0</v>
      </c>
      <c r="F12" s="54">
        <f t="shared" si="0"/>
        <v>50</v>
      </c>
      <c r="G12" s="54">
        <f t="shared" si="1"/>
        <v>0</v>
      </c>
      <c r="H12" s="54">
        <f t="shared" si="2"/>
        <v>0</v>
      </c>
    </row>
    <row r="13" spans="1:8" x14ac:dyDescent="0.25">
      <c r="A13" s="44" t="s">
        <v>59</v>
      </c>
      <c r="C13" s="57">
        <v>17000</v>
      </c>
      <c r="D13" s="53">
        <v>50</v>
      </c>
      <c r="E13" s="54">
        <f>IF(A13="","",SUMIF('Daftar Transaksi'!D:D,A13,'Daftar Transaksi'!F:F))</f>
        <v>0</v>
      </c>
      <c r="F13" s="54">
        <f t="shared" si="0"/>
        <v>50</v>
      </c>
      <c r="G13" s="54">
        <f t="shared" si="1"/>
        <v>0</v>
      </c>
      <c r="H13" s="54">
        <f t="shared" si="2"/>
        <v>0</v>
      </c>
    </row>
    <row r="14" spans="1:8" x14ac:dyDescent="0.25">
      <c r="A14" s="44" t="s">
        <v>60</v>
      </c>
      <c r="C14" s="57">
        <v>18000</v>
      </c>
      <c r="D14" s="53">
        <v>50</v>
      </c>
      <c r="E14" s="54">
        <f>IF(A14="","",SUMIF('Daftar Transaksi'!D:D,A14,'Daftar Transaksi'!F:F))</f>
        <v>0</v>
      </c>
      <c r="F14" s="54">
        <f t="shared" si="0"/>
        <v>50</v>
      </c>
      <c r="G14" s="54">
        <f t="shared" si="1"/>
        <v>0</v>
      </c>
      <c r="H14" s="54">
        <f t="shared" si="2"/>
        <v>0</v>
      </c>
    </row>
    <row r="15" spans="1:8" x14ac:dyDescent="0.25">
      <c r="A15" s="44" t="s">
        <v>61</v>
      </c>
      <c r="C15" s="57">
        <v>18000</v>
      </c>
      <c r="D15" s="53">
        <v>50</v>
      </c>
      <c r="E15" s="54">
        <f>IF(A15="","",SUMIF('Daftar Transaksi'!D:D,A15,'Daftar Transaksi'!F:F))</f>
        <v>0</v>
      </c>
      <c r="F15" s="54">
        <f t="shared" si="0"/>
        <v>50</v>
      </c>
      <c r="G15" s="54">
        <f t="shared" si="1"/>
        <v>0</v>
      </c>
      <c r="H15" s="54">
        <f t="shared" si="2"/>
        <v>0</v>
      </c>
    </row>
    <row r="16" spans="1:8" x14ac:dyDescent="0.25">
      <c r="A16" s="44" t="s">
        <v>62</v>
      </c>
      <c r="C16" s="57">
        <v>3000</v>
      </c>
      <c r="D16" s="53">
        <v>50</v>
      </c>
      <c r="E16" s="54">
        <f>IF(A16="","",SUMIF('Daftar Transaksi'!D:D,A16,'Daftar Transaksi'!F:F))</f>
        <v>7</v>
      </c>
      <c r="F16" s="54">
        <f t="shared" si="0"/>
        <v>43</v>
      </c>
      <c r="G16" s="54">
        <f t="shared" si="1"/>
        <v>21000</v>
      </c>
      <c r="H16" s="54">
        <f t="shared" si="2"/>
        <v>21000</v>
      </c>
    </row>
    <row r="17" spans="1:8" x14ac:dyDescent="0.25">
      <c r="A17" s="44" t="s">
        <v>63</v>
      </c>
      <c r="C17" s="57">
        <v>12000</v>
      </c>
      <c r="D17" s="53">
        <v>50</v>
      </c>
      <c r="E17" s="54">
        <f>IF(A17="","",SUMIF('Daftar Transaksi'!D:D,A17,'Daftar Transaksi'!F:F))</f>
        <v>0</v>
      </c>
      <c r="F17" s="54">
        <f t="shared" si="0"/>
        <v>50</v>
      </c>
      <c r="G17" s="54">
        <f t="shared" si="1"/>
        <v>0</v>
      </c>
      <c r="H17" s="54">
        <f t="shared" si="2"/>
        <v>0</v>
      </c>
    </row>
    <row r="18" spans="1:8" x14ac:dyDescent="0.25">
      <c r="A18" s="44" t="s">
        <v>64</v>
      </c>
      <c r="C18" s="57">
        <v>13000</v>
      </c>
      <c r="D18" s="53">
        <v>50</v>
      </c>
      <c r="E18" s="54">
        <f>IF(A18="","",SUMIF('Daftar Transaksi'!D:D,A18,'Daftar Transaksi'!F:F))</f>
        <v>2</v>
      </c>
      <c r="F18" s="54">
        <f t="shared" si="0"/>
        <v>48</v>
      </c>
      <c r="G18" s="54">
        <f t="shared" si="1"/>
        <v>26000</v>
      </c>
      <c r="H18" s="54">
        <f t="shared" si="2"/>
        <v>26000</v>
      </c>
    </row>
    <row r="19" spans="1:8" x14ac:dyDescent="0.25">
      <c r="A19" s="44" t="s">
        <v>65</v>
      </c>
      <c r="C19" s="57">
        <v>15000</v>
      </c>
      <c r="D19" s="53">
        <v>50</v>
      </c>
      <c r="E19" s="54">
        <f>IF(A19="","",SUMIF('Daftar Transaksi'!D:D,A19,'Daftar Transaksi'!F:F))</f>
        <v>0</v>
      </c>
      <c r="F19" s="54">
        <f t="shared" si="0"/>
        <v>50</v>
      </c>
      <c r="G19" s="54">
        <f t="shared" si="1"/>
        <v>0</v>
      </c>
      <c r="H19" s="54">
        <f t="shared" si="2"/>
        <v>0</v>
      </c>
    </row>
    <row r="20" spans="1:8" x14ac:dyDescent="0.25">
      <c r="A20" s="44" t="s">
        <v>66</v>
      </c>
      <c r="C20" s="57">
        <v>15000</v>
      </c>
      <c r="D20" s="53">
        <v>50</v>
      </c>
      <c r="E20" s="54">
        <f>IF(A20="","",SUMIF('Daftar Transaksi'!D:D,A20,'Daftar Transaksi'!F:F))</f>
        <v>0</v>
      </c>
      <c r="F20" s="54">
        <f t="shared" si="0"/>
        <v>50</v>
      </c>
      <c r="G20" s="54">
        <f t="shared" si="1"/>
        <v>0</v>
      </c>
      <c r="H20" s="54">
        <f t="shared" si="2"/>
        <v>0</v>
      </c>
    </row>
    <row r="21" spans="1:8" x14ac:dyDescent="0.25">
      <c r="A21" s="44" t="s">
        <v>67</v>
      </c>
      <c r="C21" s="57">
        <v>18000</v>
      </c>
      <c r="D21" s="53">
        <v>50</v>
      </c>
      <c r="E21" s="54">
        <f>IF(A21="","",SUMIF('Daftar Transaksi'!D:D,A21,'Daftar Transaksi'!F:F))</f>
        <v>0</v>
      </c>
      <c r="F21" s="54">
        <f t="shared" si="0"/>
        <v>50</v>
      </c>
      <c r="G21" s="54">
        <f t="shared" si="1"/>
        <v>0</v>
      </c>
      <c r="H21" s="54">
        <f t="shared" si="2"/>
        <v>0</v>
      </c>
    </row>
    <row r="22" spans="1:8" x14ac:dyDescent="0.25">
      <c r="A22" s="44" t="s">
        <v>68</v>
      </c>
      <c r="C22" s="57">
        <v>12000</v>
      </c>
      <c r="D22" s="53">
        <v>50</v>
      </c>
      <c r="E22" s="54">
        <f>IF(A22="","",SUMIF('Daftar Transaksi'!D:D,A22,'Daftar Transaksi'!F:F))</f>
        <v>0</v>
      </c>
      <c r="F22" s="54">
        <f t="shared" si="0"/>
        <v>50</v>
      </c>
      <c r="G22" s="54">
        <f t="shared" si="1"/>
        <v>0</v>
      </c>
      <c r="H22" s="54">
        <f t="shared" si="2"/>
        <v>0</v>
      </c>
    </row>
    <row r="23" spans="1:8" x14ac:dyDescent="0.25">
      <c r="A23" s="44" t="s">
        <v>69</v>
      </c>
      <c r="C23" s="57">
        <v>13000</v>
      </c>
      <c r="D23" s="53">
        <v>50</v>
      </c>
      <c r="E23" s="54">
        <f>IF(A23="","",SUMIF('Daftar Transaksi'!D:D,A23,'Daftar Transaksi'!F:F))</f>
        <v>0</v>
      </c>
      <c r="F23" s="54">
        <f t="shared" si="0"/>
        <v>50</v>
      </c>
      <c r="G23" s="54">
        <f t="shared" si="1"/>
        <v>0</v>
      </c>
      <c r="H23" s="54">
        <f t="shared" si="2"/>
        <v>0</v>
      </c>
    </row>
    <row r="24" spans="1:8" x14ac:dyDescent="0.25">
      <c r="A24" s="44" t="s">
        <v>70</v>
      </c>
      <c r="C24" s="57">
        <v>15000</v>
      </c>
      <c r="D24" s="53">
        <v>50</v>
      </c>
      <c r="E24" s="54">
        <f>IF(A24="","",SUMIF('Daftar Transaksi'!D:D,A24,'Daftar Transaksi'!F:F))</f>
        <v>0</v>
      </c>
      <c r="F24" s="54">
        <f t="shared" si="0"/>
        <v>50</v>
      </c>
      <c r="G24" s="54">
        <f t="shared" si="1"/>
        <v>0</v>
      </c>
      <c r="H24" s="54">
        <f t="shared" si="2"/>
        <v>0</v>
      </c>
    </row>
    <row r="25" spans="1:8" x14ac:dyDescent="0.25">
      <c r="A25" s="44" t="s">
        <v>71</v>
      </c>
      <c r="C25" s="57">
        <v>15000</v>
      </c>
      <c r="D25" s="53">
        <v>50</v>
      </c>
      <c r="E25" s="54">
        <f>IF(A25="","",SUMIF('Daftar Transaksi'!D:D,A25,'Daftar Transaksi'!F:F))</f>
        <v>0</v>
      </c>
      <c r="F25" s="54">
        <f t="shared" si="0"/>
        <v>50</v>
      </c>
      <c r="G25" s="54">
        <f t="shared" si="1"/>
        <v>0</v>
      </c>
      <c r="H25" s="54">
        <f t="shared" si="2"/>
        <v>0</v>
      </c>
    </row>
    <row r="26" spans="1:8" x14ac:dyDescent="0.25">
      <c r="A26" s="44" t="s">
        <v>72</v>
      </c>
      <c r="C26" s="57">
        <v>18000</v>
      </c>
      <c r="D26" s="53">
        <v>50</v>
      </c>
      <c r="E26" s="54">
        <f>IF(A26="","",SUMIF('Daftar Transaksi'!D:D,A26,'Daftar Transaksi'!F:F))</f>
        <v>0</v>
      </c>
      <c r="F26" s="54">
        <f t="shared" si="0"/>
        <v>50</v>
      </c>
      <c r="G26" s="54">
        <f t="shared" si="1"/>
        <v>0</v>
      </c>
      <c r="H26" s="54">
        <f t="shared" si="2"/>
        <v>0</v>
      </c>
    </row>
    <row r="27" spans="1:8" x14ac:dyDescent="0.25">
      <c r="A27" s="42" t="s">
        <v>73</v>
      </c>
      <c r="C27" s="57">
        <v>12000</v>
      </c>
      <c r="D27" s="53">
        <v>50</v>
      </c>
      <c r="E27" s="54">
        <f>IF(A27="","",SUMIF('Daftar Transaksi'!D:D,A27,'Daftar Transaksi'!F:F))</f>
        <v>0</v>
      </c>
      <c r="F27" s="54">
        <f t="shared" si="0"/>
        <v>50</v>
      </c>
      <c r="G27" s="54">
        <f t="shared" si="1"/>
        <v>0</v>
      </c>
      <c r="H27" s="54">
        <f t="shared" si="2"/>
        <v>0</v>
      </c>
    </row>
    <row r="28" spans="1:8" x14ac:dyDescent="0.25">
      <c r="A28" s="42" t="s">
        <v>74</v>
      </c>
      <c r="C28" s="57">
        <v>13000</v>
      </c>
      <c r="D28" s="53">
        <v>50</v>
      </c>
      <c r="E28" s="54">
        <f>IF(A28="","",SUMIF('Daftar Transaksi'!D:D,A28,'Daftar Transaksi'!F:F))</f>
        <v>0</v>
      </c>
      <c r="F28" s="54">
        <f t="shared" si="0"/>
        <v>50</v>
      </c>
      <c r="G28" s="54">
        <f t="shared" si="1"/>
        <v>0</v>
      </c>
      <c r="H28" s="54">
        <f t="shared" si="2"/>
        <v>0</v>
      </c>
    </row>
    <row r="29" spans="1:8" x14ac:dyDescent="0.25">
      <c r="A29" s="42" t="s">
        <v>75</v>
      </c>
      <c r="C29" s="57">
        <v>15000</v>
      </c>
      <c r="D29" s="53">
        <v>50</v>
      </c>
      <c r="E29" s="54">
        <f>IF(A29="","",SUMIF('Daftar Transaksi'!D:D,A29,'Daftar Transaksi'!F:F))</f>
        <v>2</v>
      </c>
      <c r="F29" s="54">
        <f t="shared" si="0"/>
        <v>48</v>
      </c>
      <c r="G29" s="54">
        <f t="shared" si="1"/>
        <v>30000</v>
      </c>
      <c r="H29" s="54">
        <f t="shared" si="2"/>
        <v>30000</v>
      </c>
    </row>
    <row r="30" spans="1:8" x14ac:dyDescent="0.25">
      <c r="A30" s="42" t="s">
        <v>76</v>
      </c>
      <c r="C30" s="57">
        <v>15000</v>
      </c>
      <c r="D30" s="53">
        <v>50</v>
      </c>
      <c r="E30" s="54">
        <f>IF(A30="","",SUMIF('Daftar Transaksi'!D:D,A30,'Daftar Transaksi'!F:F))</f>
        <v>0</v>
      </c>
      <c r="F30" s="54">
        <f t="shared" si="0"/>
        <v>50</v>
      </c>
      <c r="G30" s="54">
        <f t="shared" si="1"/>
        <v>0</v>
      </c>
      <c r="H30" s="54">
        <f t="shared" si="2"/>
        <v>0</v>
      </c>
    </row>
    <row r="31" spans="1:8" x14ac:dyDescent="0.25">
      <c r="A31" s="42" t="s">
        <v>77</v>
      </c>
      <c r="C31" s="57">
        <v>18000</v>
      </c>
      <c r="D31" s="53">
        <v>50</v>
      </c>
      <c r="E31" s="54">
        <f>IF(A31="","",SUMIF('Daftar Transaksi'!D:D,A31,'Daftar Transaksi'!F:F))</f>
        <v>0</v>
      </c>
      <c r="F31" s="54">
        <f t="shared" si="0"/>
        <v>50</v>
      </c>
      <c r="G31" s="54">
        <f t="shared" si="1"/>
        <v>0</v>
      </c>
      <c r="H31" s="54">
        <f t="shared" si="2"/>
        <v>0</v>
      </c>
    </row>
    <row r="32" spans="1:8" x14ac:dyDescent="0.25">
      <c r="E32" s="54" t="str">
        <f>IF(A32="","",SUMIF('Daftar Transaksi'!D:D,A32,'Daftar Transaksi'!F:F))</f>
        <v/>
      </c>
      <c r="F32" s="54" t="str">
        <f t="shared" si="0"/>
        <v/>
      </c>
      <c r="G32" s="54" t="str">
        <f t="shared" si="1"/>
        <v/>
      </c>
      <c r="H32" s="54" t="str">
        <f t="shared" si="2"/>
        <v/>
      </c>
    </row>
    <row r="33" spans="5:8" x14ac:dyDescent="0.25">
      <c r="E33" s="54" t="str">
        <f>IF(A33="","",SUMIF('Daftar Transaksi'!D:D,A33,'Daftar Transaksi'!F:F))</f>
        <v/>
      </c>
      <c r="F33" s="54" t="str">
        <f t="shared" si="0"/>
        <v/>
      </c>
      <c r="G33" s="54" t="str">
        <f t="shared" si="1"/>
        <v/>
      </c>
      <c r="H33" s="54" t="str">
        <f t="shared" si="2"/>
        <v/>
      </c>
    </row>
    <row r="34" spans="5:8" x14ac:dyDescent="0.25">
      <c r="E34" s="54" t="str">
        <f>IF(A34="","",SUMIF('Daftar Transaksi'!D:D,A34,'Daftar Transaksi'!F:F))</f>
        <v/>
      </c>
      <c r="F34" s="54" t="str">
        <f t="shared" si="0"/>
        <v/>
      </c>
      <c r="G34" s="54" t="str">
        <f t="shared" si="1"/>
        <v/>
      </c>
      <c r="H34" s="54" t="str">
        <f t="shared" si="2"/>
        <v/>
      </c>
    </row>
    <row r="35" spans="5:8" x14ac:dyDescent="0.25">
      <c r="E35" s="54" t="str">
        <f>IF(A35="","",SUMIF('Daftar Transaksi'!D:D,A35,'Daftar Transaksi'!F:F))</f>
        <v/>
      </c>
      <c r="F35" s="54" t="str">
        <f t="shared" si="0"/>
        <v/>
      </c>
      <c r="G35" s="54" t="str">
        <f t="shared" si="1"/>
        <v/>
      </c>
      <c r="H35" s="54" t="str">
        <f t="shared" si="2"/>
        <v/>
      </c>
    </row>
    <row r="36" spans="5:8" x14ac:dyDescent="0.25">
      <c r="E36" s="54" t="str">
        <f>IF(A36="","",SUMIF('Daftar Transaksi'!D:D,A36,'Daftar Transaksi'!F:F))</f>
        <v/>
      </c>
      <c r="F36" s="54" t="str">
        <f t="shared" si="0"/>
        <v/>
      </c>
      <c r="G36" s="54" t="str">
        <f t="shared" si="1"/>
        <v/>
      </c>
      <c r="H36" s="54" t="str">
        <f t="shared" si="2"/>
        <v/>
      </c>
    </row>
    <row r="37" spans="5:8" x14ac:dyDescent="0.25">
      <c r="E37" s="54" t="str">
        <f>IF(A37="","",SUMIF('Daftar Transaksi'!D:D,A37,'Daftar Transaksi'!F:F))</f>
        <v/>
      </c>
      <c r="F37" s="54" t="str">
        <f t="shared" si="0"/>
        <v/>
      </c>
      <c r="G37" s="54" t="str">
        <f t="shared" si="1"/>
        <v/>
      </c>
      <c r="H37" s="54" t="str">
        <f t="shared" si="2"/>
        <v/>
      </c>
    </row>
    <row r="38" spans="5:8" x14ac:dyDescent="0.25">
      <c r="E38" s="54" t="str">
        <f>IF(A38="","",SUMIF('Daftar Transaksi'!D:D,A38,'Daftar Transaksi'!F:F))</f>
        <v/>
      </c>
      <c r="F38" s="54" t="str">
        <f t="shared" si="0"/>
        <v/>
      </c>
      <c r="G38" s="54" t="str">
        <f t="shared" si="1"/>
        <v/>
      </c>
      <c r="H38" s="54" t="str">
        <f t="shared" si="2"/>
        <v/>
      </c>
    </row>
    <row r="39" spans="5:8" x14ac:dyDescent="0.25">
      <c r="E39" s="54" t="str">
        <f>IF(A39="","",SUMIF('Daftar Transaksi'!D:D,A39,'Daftar Transaksi'!F:F))</f>
        <v/>
      </c>
      <c r="F39" s="54" t="str">
        <f t="shared" si="0"/>
        <v/>
      </c>
      <c r="G39" s="54" t="str">
        <f t="shared" si="1"/>
        <v/>
      </c>
      <c r="H39" s="54" t="str">
        <f t="shared" si="2"/>
        <v/>
      </c>
    </row>
    <row r="40" spans="5:8" x14ac:dyDescent="0.25">
      <c r="E40" s="54" t="str">
        <f>IF(A40="","",SUMIF('Daftar Transaksi'!D:D,A40,'Daftar Transaksi'!F:F))</f>
        <v/>
      </c>
      <c r="F40" s="54" t="str">
        <f t="shared" si="0"/>
        <v/>
      </c>
      <c r="G40" s="54" t="str">
        <f t="shared" si="1"/>
        <v/>
      </c>
      <c r="H40" s="54" t="str">
        <f t="shared" si="2"/>
        <v/>
      </c>
    </row>
    <row r="41" spans="5:8" x14ac:dyDescent="0.25">
      <c r="E41" s="54" t="str">
        <f>IF(A41="","",SUMIF('Daftar Transaksi'!D:D,A41,'Daftar Transaksi'!F:F))</f>
        <v/>
      </c>
      <c r="F41" s="54" t="str">
        <f t="shared" si="0"/>
        <v/>
      </c>
      <c r="G41" s="54" t="str">
        <f t="shared" si="1"/>
        <v/>
      </c>
      <c r="H41" s="54" t="str">
        <f t="shared" si="2"/>
        <v/>
      </c>
    </row>
    <row r="42" spans="5:8" x14ac:dyDescent="0.25">
      <c r="E42" s="54" t="str">
        <f>IF(A42="","",SUMIF('Daftar Transaksi'!D:D,A42,'Daftar Transaksi'!F:F))</f>
        <v/>
      </c>
      <c r="F42" s="54" t="str">
        <f t="shared" si="0"/>
        <v/>
      </c>
      <c r="G42" s="54" t="str">
        <f t="shared" si="1"/>
        <v/>
      </c>
      <c r="H42" s="54" t="str">
        <f t="shared" si="2"/>
        <v/>
      </c>
    </row>
    <row r="43" spans="5:8" x14ac:dyDescent="0.25">
      <c r="E43" s="54" t="str">
        <f>IF(A43="","",SUMIF('Daftar Transaksi'!D:D,A43,'Daftar Transaksi'!F:F))</f>
        <v/>
      </c>
      <c r="F43" s="54" t="str">
        <f t="shared" si="0"/>
        <v/>
      </c>
      <c r="G43" s="54" t="str">
        <f t="shared" si="1"/>
        <v/>
      </c>
      <c r="H43" s="54" t="str">
        <f t="shared" si="2"/>
        <v/>
      </c>
    </row>
    <row r="44" spans="5:8" x14ac:dyDescent="0.25">
      <c r="E44" s="54" t="str">
        <f>IF(A44="","",SUMIF('Daftar Transaksi'!D:D,A44,'Daftar Transaksi'!F:F))</f>
        <v/>
      </c>
      <c r="F44" s="54" t="str">
        <f t="shared" si="0"/>
        <v/>
      </c>
      <c r="G44" s="54" t="str">
        <f t="shared" si="1"/>
        <v/>
      </c>
      <c r="H44" s="54" t="str">
        <f t="shared" si="2"/>
        <v/>
      </c>
    </row>
    <row r="45" spans="5:8" x14ac:dyDescent="0.25">
      <c r="E45" s="54" t="str">
        <f>IF(A45="","",SUMIF('Daftar Transaksi'!D:D,A45,'Daftar Transaksi'!F:F))</f>
        <v/>
      </c>
      <c r="F45" s="54" t="str">
        <f t="shared" si="0"/>
        <v/>
      </c>
      <c r="G45" s="54" t="str">
        <f t="shared" si="1"/>
        <v/>
      </c>
      <c r="H45" s="54" t="str">
        <f t="shared" si="2"/>
        <v/>
      </c>
    </row>
    <row r="46" spans="5:8" x14ac:dyDescent="0.25">
      <c r="E46" s="54" t="str">
        <f>IF(A46="","",SUMIF('Daftar Transaksi'!D:D,A46,'Daftar Transaksi'!F:F))</f>
        <v/>
      </c>
      <c r="F46" s="54" t="str">
        <f t="shared" si="0"/>
        <v/>
      </c>
      <c r="G46" s="54" t="str">
        <f t="shared" si="1"/>
        <v/>
      </c>
      <c r="H46" s="54" t="str">
        <f t="shared" si="2"/>
        <v/>
      </c>
    </row>
    <row r="47" spans="5:8" x14ac:dyDescent="0.25">
      <c r="E47" s="54" t="str">
        <f>IF(A47="","",SUMIF('Daftar Transaksi'!D:D,A47,'Daftar Transaksi'!F:F))</f>
        <v/>
      </c>
      <c r="F47" s="54" t="str">
        <f t="shared" si="0"/>
        <v/>
      </c>
      <c r="G47" s="54" t="str">
        <f t="shared" si="1"/>
        <v/>
      </c>
      <c r="H47" s="54" t="str">
        <f t="shared" si="2"/>
        <v/>
      </c>
    </row>
    <row r="48" spans="5:8" x14ac:dyDescent="0.25">
      <c r="E48" s="54" t="str">
        <f>IF(A48="","",SUMIF('Daftar Transaksi'!D:D,A48,'Daftar Transaksi'!F:F))</f>
        <v/>
      </c>
      <c r="F48" s="54" t="str">
        <f t="shared" si="0"/>
        <v/>
      </c>
      <c r="G48" s="54" t="str">
        <f t="shared" si="1"/>
        <v/>
      </c>
      <c r="H48" s="54" t="str">
        <f t="shared" si="2"/>
        <v/>
      </c>
    </row>
    <row r="49" spans="5:8" x14ac:dyDescent="0.25">
      <c r="E49" s="54" t="str">
        <f>IF(A49="","",SUMIF('Daftar Transaksi'!D:D,A49,'Daftar Transaksi'!F:F))</f>
        <v/>
      </c>
      <c r="F49" s="54" t="str">
        <f t="shared" si="0"/>
        <v/>
      </c>
      <c r="G49" s="54" t="str">
        <f t="shared" si="1"/>
        <v/>
      </c>
      <c r="H49" s="54" t="str">
        <f t="shared" si="2"/>
        <v/>
      </c>
    </row>
    <row r="50" spans="5:8" x14ac:dyDescent="0.25">
      <c r="E50" s="54" t="str">
        <f>IF(A50="","",SUMIF('Daftar Transaksi'!D:D,A50,'Daftar Transaksi'!F:F))</f>
        <v/>
      </c>
      <c r="F50" s="54" t="str">
        <f t="shared" si="0"/>
        <v/>
      </c>
      <c r="G50" s="54" t="str">
        <f t="shared" si="1"/>
        <v/>
      </c>
      <c r="H50" s="54" t="str">
        <f t="shared" si="2"/>
        <v/>
      </c>
    </row>
    <row r="51" spans="5:8" x14ac:dyDescent="0.25">
      <c r="E51" s="54" t="str">
        <f>IF(A51="","",SUMIF('Daftar Transaksi'!D:D,A51,'Daftar Transaksi'!F:F))</f>
        <v/>
      </c>
      <c r="F51" s="54" t="str">
        <f t="shared" si="0"/>
        <v/>
      </c>
      <c r="G51" s="54" t="str">
        <f t="shared" si="1"/>
        <v/>
      </c>
      <c r="H51" s="54" t="str">
        <f t="shared" si="2"/>
        <v/>
      </c>
    </row>
    <row r="52" spans="5:8" x14ac:dyDescent="0.25">
      <c r="E52" s="54" t="str">
        <f>IF(A52="","",SUMIF('Daftar Transaksi'!D:D,A52,'Daftar Transaksi'!F:F))</f>
        <v/>
      </c>
      <c r="F52" s="54" t="str">
        <f t="shared" si="0"/>
        <v/>
      </c>
      <c r="G52" s="54" t="str">
        <f t="shared" si="1"/>
        <v/>
      </c>
      <c r="H52" s="54" t="str">
        <f t="shared" si="2"/>
        <v/>
      </c>
    </row>
    <row r="53" spans="5:8" x14ac:dyDescent="0.25">
      <c r="E53" s="54" t="str">
        <f>IF(A53="","",SUMIF('Daftar Transaksi'!D:D,A53,'Daftar Transaksi'!F:F))</f>
        <v/>
      </c>
      <c r="F53" s="54" t="str">
        <f t="shared" si="0"/>
        <v/>
      </c>
      <c r="G53" s="54" t="str">
        <f t="shared" si="1"/>
        <v/>
      </c>
      <c r="H53" s="54" t="str">
        <f t="shared" si="2"/>
        <v/>
      </c>
    </row>
    <row r="54" spans="5:8" x14ac:dyDescent="0.25">
      <c r="E54" s="54" t="str">
        <f>IF(A54="","",SUMIF('Daftar Transaksi'!D:D,A54,'Daftar Transaksi'!F:F))</f>
        <v/>
      </c>
      <c r="F54" s="54" t="str">
        <f t="shared" si="0"/>
        <v/>
      </c>
      <c r="G54" s="54" t="str">
        <f t="shared" si="1"/>
        <v/>
      </c>
      <c r="H54" s="54" t="str">
        <f t="shared" si="2"/>
        <v/>
      </c>
    </row>
    <row r="55" spans="5:8" x14ac:dyDescent="0.25">
      <c r="E55" s="54" t="str">
        <f>IF(A55="","",SUMIF('Daftar Transaksi'!D:D,A55,'Daftar Transaksi'!F:F))</f>
        <v/>
      </c>
      <c r="F55" s="54" t="str">
        <f t="shared" si="0"/>
        <v/>
      </c>
      <c r="G55" s="54" t="str">
        <f t="shared" si="1"/>
        <v/>
      </c>
      <c r="H55" s="54" t="str">
        <f t="shared" si="2"/>
        <v/>
      </c>
    </row>
    <row r="56" spans="5:8" x14ac:dyDescent="0.25">
      <c r="E56" s="54" t="str">
        <f>IF(A56="","",SUMIF('Daftar Transaksi'!D:D,A56,'Daftar Transaksi'!F:F))</f>
        <v/>
      </c>
      <c r="F56" s="54" t="str">
        <f t="shared" si="0"/>
        <v/>
      </c>
      <c r="G56" s="54" t="str">
        <f t="shared" si="1"/>
        <v/>
      </c>
      <c r="H56" s="54" t="str">
        <f t="shared" si="2"/>
        <v/>
      </c>
    </row>
    <row r="57" spans="5:8" x14ac:dyDescent="0.25">
      <c r="E57" s="54" t="str">
        <f>IF(A57="","",SUMIF('Daftar Transaksi'!D:D,A57,'Daftar Transaksi'!F:F))</f>
        <v/>
      </c>
      <c r="F57" s="54" t="str">
        <f t="shared" si="0"/>
        <v/>
      </c>
      <c r="G57" s="54" t="str">
        <f t="shared" si="1"/>
        <v/>
      </c>
      <c r="H57" s="54" t="str">
        <f t="shared" si="2"/>
        <v/>
      </c>
    </row>
    <row r="58" spans="5:8" x14ac:dyDescent="0.25">
      <c r="E58" s="54" t="str">
        <f>IF(A58="","",SUMIF('Daftar Transaksi'!D:D,A58,'Daftar Transaksi'!F:F))</f>
        <v/>
      </c>
      <c r="F58" s="54" t="str">
        <f t="shared" si="0"/>
        <v/>
      </c>
      <c r="G58" s="54" t="str">
        <f t="shared" si="1"/>
        <v/>
      </c>
      <c r="H58" s="54" t="str">
        <f t="shared" si="2"/>
        <v/>
      </c>
    </row>
    <row r="59" spans="5:8" x14ac:dyDescent="0.25">
      <c r="E59" s="54" t="str">
        <f>IF(A59="","",SUMIF('Daftar Transaksi'!D:D,A59,'Daftar Transaksi'!F:F))</f>
        <v/>
      </c>
      <c r="F59" s="54" t="str">
        <f t="shared" si="0"/>
        <v/>
      </c>
      <c r="G59" s="54" t="str">
        <f t="shared" si="1"/>
        <v/>
      </c>
      <c r="H59" s="54" t="str">
        <f t="shared" si="2"/>
        <v/>
      </c>
    </row>
    <row r="60" spans="5:8" x14ac:dyDescent="0.25">
      <c r="E60" s="54" t="str">
        <f>IF(A60="","",SUMIF('Daftar Transaksi'!D:D,A60,'Daftar Transaksi'!F:F))</f>
        <v/>
      </c>
      <c r="F60" s="54" t="str">
        <f t="shared" si="0"/>
        <v/>
      </c>
      <c r="G60" s="54" t="str">
        <f t="shared" si="1"/>
        <v/>
      </c>
      <c r="H60" s="54" t="str">
        <f t="shared" si="2"/>
        <v/>
      </c>
    </row>
    <row r="61" spans="5:8" x14ac:dyDescent="0.25">
      <c r="E61" s="54" t="str">
        <f>IF(A61="","",SUMIF('Daftar Transaksi'!D:D,A61,'Daftar Transaksi'!F:F))</f>
        <v/>
      </c>
      <c r="F61" s="54" t="str">
        <f t="shared" si="0"/>
        <v/>
      </c>
      <c r="G61" s="54" t="str">
        <f t="shared" si="1"/>
        <v/>
      </c>
      <c r="H61" s="54" t="str">
        <f t="shared" si="2"/>
        <v/>
      </c>
    </row>
    <row r="62" spans="5:8" x14ac:dyDescent="0.25">
      <c r="E62" s="54" t="str">
        <f>IF(A62="","",SUMIF('Daftar Transaksi'!D:D,A62,'Daftar Transaksi'!F:F))</f>
        <v/>
      </c>
      <c r="F62" s="54" t="str">
        <f t="shared" si="0"/>
        <v/>
      </c>
      <c r="G62" s="54" t="str">
        <f t="shared" si="1"/>
        <v/>
      </c>
      <c r="H62" s="54" t="str">
        <f t="shared" si="2"/>
        <v/>
      </c>
    </row>
    <row r="63" spans="5:8" x14ac:dyDescent="0.25">
      <c r="E63" s="54" t="str">
        <f>IF(A63="","",SUMIF('Daftar Transaksi'!D:D,A63,'Daftar Transaksi'!F:F))</f>
        <v/>
      </c>
      <c r="F63" s="54" t="str">
        <f t="shared" ref="F63:F126" si="3">IF(A63="","",D63-E63)</f>
        <v/>
      </c>
      <c r="G63" s="54" t="str">
        <f t="shared" ref="G63:G126" si="4">IF(A63="","",C63*E63)</f>
        <v/>
      </c>
      <c r="H63" s="54" t="str">
        <f t="shared" ref="H63:H126" si="5">IF(A63="","",G63-(B63*E63))</f>
        <v/>
      </c>
    </row>
    <row r="64" spans="5:8" x14ac:dyDescent="0.25">
      <c r="E64" s="54" t="str">
        <f>IF(A64="","",SUMIF('Daftar Transaksi'!D:D,A64,'Daftar Transaksi'!F:F))</f>
        <v/>
      </c>
      <c r="F64" s="54" t="str">
        <f t="shared" si="3"/>
        <v/>
      </c>
      <c r="G64" s="54" t="str">
        <f t="shared" si="4"/>
        <v/>
      </c>
      <c r="H64" s="54" t="str">
        <f t="shared" si="5"/>
        <v/>
      </c>
    </row>
    <row r="65" spans="5:8" x14ac:dyDescent="0.25">
      <c r="E65" s="54" t="str">
        <f>IF(A65="","",SUMIF('Daftar Transaksi'!D:D,A65,'Daftar Transaksi'!F:F))</f>
        <v/>
      </c>
      <c r="F65" s="54" t="str">
        <f t="shared" si="3"/>
        <v/>
      </c>
      <c r="G65" s="54" t="str">
        <f t="shared" si="4"/>
        <v/>
      </c>
      <c r="H65" s="54" t="str">
        <f t="shared" si="5"/>
        <v/>
      </c>
    </row>
    <row r="66" spans="5:8" x14ac:dyDescent="0.25">
      <c r="E66" s="54" t="str">
        <f>IF(A66="","",SUMIF('Daftar Transaksi'!D:D,A66,'Daftar Transaksi'!F:F))</f>
        <v/>
      </c>
      <c r="F66" s="54" t="str">
        <f t="shared" si="3"/>
        <v/>
      </c>
      <c r="G66" s="54" t="str">
        <f t="shared" si="4"/>
        <v/>
      </c>
      <c r="H66" s="54" t="str">
        <f t="shared" si="5"/>
        <v/>
      </c>
    </row>
    <row r="67" spans="5:8" x14ac:dyDescent="0.25">
      <c r="E67" s="54" t="str">
        <f>IF(A67="","",SUMIF('Daftar Transaksi'!D:D,A67,'Daftar Transaksi'!F:F))</f>
        <v/>
      </c>
      <c r="F67" s="54" t="str">
        <f t="shared" si="3"/>
        <v/>
      </c>
      <c r="G67" s="54" t="str">
        <f t="shared" si="4"/>
        <v/>
      </c>
      <c r="H67" s="54" t="str">
        <f t="shared" si="5"/>
        <v/>
      </c>
    </row>
    <row r="68" spans="5:8" x14ac:dyDescent="0.25">
      <c r="E68" s="54" t="str">
        <f>IF(A68="","",SUMIF('Daftar Transaksi'!D:D,A68,'Daftar Transaksi'!F:F))</f>
        <v/>
      </c>
      <c r="F68" s="54" t="str">
        <f t="shared" si="3"/>
        <v/>
      </c>
      <c r="G68" s="54" t="str">
        <f t="shared" si="4"/>
        <v/>
      </c>
      <c r="H68" s="54" t="str">
        <f t="shared" si="5"/>
        <v/>
      </c>
    </row>
    <row r="69" spans="5:8" x14ac:dyDescent="0.25">
      <c r="E69" s="54" t="str">
        <f>IF(A69="","",SUMIF('Daftar Transaksi'!D:D,A69,'Daftar Transaksi'!F:F))</f>
        <v/>
      </c>
      <c r="F69" s="54" t="str">
        <f t="shared" si="3"/>
        <v/>
      </c>
      <c r="G69" s="54" t="str">
        <f t="shared" si="4"/>
        <v/>
      </c>
      <c r="H69" s="54" t="str">
        <f t="shared" si="5"/>
        <v/>
      </c>
    </row>
    <row r="70" spans="5:8" x14ac:dyDescent="0.25">
      <c r="E70" s="54" t="str">
        <f>IF(A70="","",SUMIF('Daftar Transaksi'!D:D,A70,'Daftar Transaksi'!F:F))</f>
        <v/>
      </c>
      <c r="F70" s="54" t="str">
        <f t="shared" si="3"/>
        <v/>
      </c>
      <c r="G70" s="54" t="str">
        <f t="shared" si="4"/>
        <v/>
      </c>
      <c r="H70" s="54" t="str">
        <f t="shared" si="5"/>
        <v/>
      </c>
    </row>
    <row r="71" spans="5:8" x14ac:dyDescent="0.25">
      <c r="E71" s="54" t="str">
        <f>IF(A71="","",SUMIF('Daftar Transaksi'!D:D,A71,'Daftar Transaksi'!F:F))</f>
        <v/>
      </c>
      <c r="F71" s="54" t="str">
        <f t="shared" si="3"/>
        <v/>
      </c>
      <c r="G71" s="54" t="str">
        <f t="shared" si="4"/>
        <v/>
      </c>
      <c r="H71" s="54" t="str">
        <f t="shared" si="5"/>
        <v/>
      </c>
    </row>
    <row r="72" spans="5:8" x14ac:dyDescent="0.25">
      <c r="E72" s="54" t="str">
        <f>IF(A72="","",SUMIF('Daftar Transaksi'!D:D,A72,'Daftar Transaksi'!F:F))</f>
        <v/>
      </c>
      <c r="F72" s="54" t="str">
        <f t="shared" si="3"/>
        <v/>
      </c>
      <c r="G72" s="54" t="str">
        <f t="shared" si="4"/>
        <v/>
      </c>
      <c r="H72" s="54" t="str">
        <f t="shared" si="5"/>
        <v/>
      </c>
    </row>
    <row r="73" spans="5:8" x14ac:dyDescent="0.25">
      <c r="E73" s="54" t="str">
        <f>IF(A73="","",SUMIF('Daftar Transaksi'!D:D,A73,'Daftar Transaksi'!F:F))</f>
        <v/>
      </c>
      <c r="F73" s="54" t="str">
        <f t="shared" si="3"/>
        <v/>
      </c>
      <c r="G73" s="54" t="str">
        <f t="shared" si="4"/>
        <v/>
      </c>
      <c r="H73" s="54" t="str">
        <f t="shared" si="5"/>
        <v/>
      </c>
    </row>
    <row r="74" spans="5:8" x14ac:dyDescent="0.25">
      <c r="E74" s="54" t="str">
        <f>IF(A74="","",SUMIF('Daftar Transaksi'!D:D,A74,'Daftar Transaksi'!F:F))</f>
        <v/>
      </c>
      <c r="F74" s="54" t="str">
        <f t="shared" si="3"/>
        <v/>
      </c>
      <c r="G74" s="54" t="str">
        <f t="shared" si="4"/>
        <v/>
      </c>
      <c r="H74" s="54" t="str">
        <f t="shared" si="5"/>
        <v/>
      </c>
    </row>
    <row r="75" spans="5:8" x14ac:dyDescent="0.25">
      <c r="E75" s="54" t="str">
        <f>IF(A75="","",SUMIF('Daftar Transaksi'!D:D,A75,'Daftar Transaksi'!F:F))</f>
        <v/>
      </c>
      <c r="F75" s="54" t="str">
        <f t="shared" si="3"/>
        <v/>
      </c>
      <c r="G75" s="54" t="str">
        <f t="shared" si="4"/>
        <v/>
      </c>
      <c r="H75" s="54" t="str">
        <f t="shared" si="5"/>
        <v/>
      </c>
    </row>
    <row r="76" spans="5:8" x14ac:dyDescent="0.25">
      <c r="E76" s="54" t="str">
        <f>IF(A76="","",SUMIF('Daftar Transaksi'!D:D,A76,'Daftar Transaksi'!F:F))</f>
        <v/>
      </c>
      <c r="F76" s="54" t="str">
        <f t="shared" si="3"/>
        <v/>
      </c>
      <c r="G76" s="54" t="str">
        <f t="shared" si="4"/>
        <v/>
      </c>
      <c r="H76" s="54" t="str">
        <f t="shared" si="5"/>
        <v/>
      </c>
    </row>
    <row r="77" spans="5:8" x14ac:dyDescent="0.25">
      <c r="E77" s="54" t="str">
        <f>IF(A77="","",SUMIF('Daftar Transaksi'!D:D,A77,'Daftar Transaksi'!F:F))</f>
        <v/>
      </c>
      <c r="F77" s="54" t="str">
        <f t="shared" si="3"/>
        <v/>
      </c>
      <c r="G77" s="54" t="str">
        <f t="shared" si="4"/>
        <v/>
      </c>
      <c r="H77" s="54" t="str">
        <f t="shared" si="5"/>
        <v/>
      </c>
    </row>
    <row r="78" spans="5:8" x14ac:dyDescent="0.25">
      <c r="E78" s="54" t="str">
        <f>IF(A78="","",SUMIF('Daftar Transaksi'!D:D,A78,'Daftar Transaksi'!F:F))</f>
        <v/>
      </c>
      <c r="F78" s="54" t="str">
        <f t="shared" si="3"/>
        <v/>
      </c>
      <c r="G78" s="54" t="str">
        <f t="shared" si="4"/>
        <v/>
      </c>
      <c r="H78" s="54" t="str">
        <f t="shared" si="5"/>
        <v/>
      </c>
    </row>
    <row r="79" spans="5:8" x14ac:dyDescent="0.25">
      <c r="E79" s="54" t="str">
        <f>IF(A79="","",SUMIF('Daftar Transaksi'!D:D,A79,'Daftar Transaksi'!F:F))</f>
        <v/>
      </c>
      <c r="F79" s="54" t="str">
        <f t="shared" si="3"/>
        <v/>
      </c>
      <c r="G79" s="54" t="str">
        <f t="shared" si="4"/>
        <v/>
      </c>
      <c r="H79" s="54" t="str">
        <f t="shared" si="5"/>
        <v/>
      </c>
    </row>
    <row r="80" spans="5:8" x14ac:dyDescent="0.25">
      <c r="E80" s="54" t="str">
        <f>IF(A80="","",SUMIF('Daftar Transaksi'!D:D,A80,'Daftar Transaksi'!F:F))</f>
        <v/>
      </c>
      <c r="F80" s="54" t="str">
        <f t="shared" si="3"/>
        <v/>
      </c>
      <c r="G80" s="54" t="str">
        <f t="shared" si="4"/>
        <v/>
      </c>
      <c r="H80" s="54" t="str">
        <f t="shared" si="5"/>
        <v/>
      </c>
    </row>
    <row r="81" spans="5:8" x14ac:dyDescent="0.25">
      <c r="E81" s="54" t="str">
        <f>IF(A81="","",SUMIF('Daftar Transaksi'!D:D,A81,'Daftar Transaksi'!F:F))</f>
        <v/>
      </c>
      <c r="F81" s="54" t="str">
        <f t="shared" si="3"/>
        <v/>
      </c>
      <c r="G81" s="54" t="str">
        <f t="shared" si="4"/>
        <v/>
      </c>
      <c r="H81" s="54" t="str">
        <f t="shared" si="5"/>
        <v/>
      </c>
    </row>
    <row r="82" spans="5:8" x14ac:dyDescent="0.25">
      <c r="E82" s="54" t="str">
        <f>IF(A82="","",SUMIF('Daftar Transaksi'!D:D,A82,'Daftar Transaksi'!F:F))</f>
        <v/>
      </c>
      <c r="F82" s="54" t="str">
        <f t="shared" si="3"/>
        <v/>
      </c>
      <c r="G82" s="54" t="str">
        <f t="shared" si="4"/>
        <v/>
      </c>
      <c r="H82" s="54" t="str">
        <f t="shared" si="5"/>
        <v/>
      </c>
    </row>
    <row r="83" spans="5:8" x14ac:dyDescent="0.25">
      <c r="E83" s="54" t="str">
        <f>IF(A83="","",SUMIF('Daftar Transaksi'!D:D,A83,'Daftar Transaksi'!F:F))</f>
        <v/>
      </c>
      <c r="F83" s="54" t="str">
        <f t="shared" si="3"/>
        <v/>
      </c>
      <c r="G83" s="54" t="str">
        <f t="shared" si="4"/>
        <v/>
      </c>
      <c r="H83" s="54" t="str">
        <f t="shared" si="5"/>
        <v/>
      </c>
    </row>
    <row r="84" spans="5:8" x14ac:dyDescent="0.25">
      <c r="E84" s="54" t="str">
        <f>IF(A84="","",SUMIF('Daftar Transaksi'!D:D,A84,'Daftar Transaksi'!F:F))</f>
        <v/>
      </c>
      <c r="F84" s="54" t="str">
        <f t="shared" si="3"/>
        <v/>
      </c>
      <c r="G84" s="54" t="str">
        <f t="shared" si="4"/>
        <v/>
      </c>
      <c r="H84" s="54" t="str">
        <f t="shared" si="5"/>
        <v/>
      </c>
    </row>
    <row r="85" spans="5:8" x14ac:dyDescent="0.25">
      <c r="E85" s="54" t="str">
        <f>IF(A85="","",SUMIF('Daftar Transaksi'!D:D,A85,'Daftar Transaksi'!F:F))</f>
        <v/>
      </c>
      <c r="F85" s="54" t="str">
        <f t="shared" si="3"/>
        <v/>
      </c>
      <c r="G85" s="54" t="str">
        <f t="shared" si="4"/>
        <v/>
      </c>
      <c r="H85" s="54" t="str">
        <f t="shared" si="5"/>
        <v/>
      </c>
    </row>
    <row r="86" spans="5:8" x14ac:dyDescent="0.25">
      <c r="E86" s="54" t="str">
        <f>IF(A86="","",SUMIF('Daftar Transaksi'!D:D,A86,'Daftar Transaksi'!F:F))</f>
        <v/>
      </c>
      <c r="F86" s="54" t="str">
        <f t="shared" si="3"/>
        <v/>
      </c>
      <c r="G86" s="54" t="str">
        <f t="shared" si="4"/>
        <v/>
      </c>
      <c r="H86" s="54" t="str">
        <f t="shared" si="5"/>
        <v/>
      </c>
    </row>
    <row r="87" spans="5:8" x14ac:dyDescent="0.25">
      <c r="E87" s="54" t="str">
        <f>IF(A87="","",SUMIF('Daftar Transaksi'!D:D,A87,'Daftar Transaksi'!F:F))</f>
        <v/>
      </c>
      <c r="F87" s="54" t="str">
        <f t="shared" si="3"/>
        <v/>
      </c>
      <c r="G87" s="54" t="str">
        <f t="shared" si="4"/>
        <v/>
      </c>
      <c r="H87" s="54" t="str">
        <f t="shared" si="5"/>
        <v/>
      </c>
    </row>
    <row r="88" spans="5:8" x14ac:dyDescent="0.25">
      <c r="E88" s="54" t="str">
        <f>IF(A88="","",SUMIF('Daftar Transaksi'!D:D,A88,'Daftar Transaksi'!F:F))</f>
        <v/>
      </c>
      <c r="F88" s="54" t="str">
        <f t="shared" si="3"/>
        <v/>
      </c>
      <c r="G88" s="54" t="str">
        <f t="shared" si="4"/>
        <v/>
      </c>
      <c r="H88" s="54" t="str">
        <f t="shared" si="5"/>
        <v/>
      </c>
    </row>
    <row r="89" spans="5:8" x14ac:dyDescent="0.25">
      <c r="E89" s="54" t="str">
        <f>IF(A89="","",SUMIF('Daftar Transaksi'!D:D,A89,'Daftar Transaksi'!F:F))</f>
        <v/>
      </c>
      <c r="F89" s="54" t="str">
        <f t="shared" si="3"/>
        <v/>
      </c>
      <c r="G89" s="54" t="str">
        <f t="shared" si="4"/>
        <v/>
      </c>
      <c r="H89" s="54" t="str">
        <f t="shared" si="5"/>
        <v/>
      </c>
    </row>
    <row r="90" spans="5:8" x14ac:dyDescent="0.25">
      <c r="E90" s="54" t="str">
        <f>IF(A90="","",SUMIF('Daftar Transaksi'!D:D,A90,'Daftar Transaksi'!F:F))</f>
        <v/>
      </c>
      <c r="F90" s="54" t="str">
        <f t="shared" si="3"/>
        <v/>
      </c>
      <c r="G90" s="54" t="str">
        <f t="shared" si="4"/>
        <v/>
      </c>
      <c r="H90" s="54" t="str">
        <f t="shared" si="5"/>
        <v/>
      </c>
    </row>
    <row r="91" spans="5:8" x14ac:dyDescent="0.25">
      <c r="E91" s="54" t="str">
        <f>IF(A91="","",SUMIF('Daftar Transaksi'!D:D,A91,'Daftar Transaksi'!F:F))</f>
        <v/>
      </c>
      <c r="F91" s="54" t="str">
        <f t="shared" si="3"/>
        <v/>
      </c>
      <c r="G91" s="54" t="str">
        <f t="shared" si="4"/>
        <v/>
      </c>
      <c r="H91" s="54" t="str">
        <f t="shared" si="5"/>
        <v/>
      </c>
    </row>
    <row r="92" spans="5:8" x14ac:dyDescent="0.25">
      <c r="E92" s="54" t="str">
        <f>IF(A92="","",SUMIF('Daftar Transaksi'!D:D,A92,'Daftar Transaksi'!F:F))</f>
        <v/>
      </c>
      <c r="F92" s="54" t="str">
        <f t="shared" si="3"/>
        <v/>
      </c>
      <c r="G92" s="54" t="str">
        <f t="shared" si="4"/>
        <v/>
      </c>
      <c r="H92" s="54" t="str">
        <f t="shared" si="5"/>
        <v/>
      </c>
    </row>
    <row r="93" spans="5:8" x14ac:dyDescent="0.25">
      <c r="E93" s="54" t="str">
        <f>IF(A93="","",SUMIF('Daftar Transaksi'!D:D,A93,'Daftar Transaksi'!F:F))</f>
        <v/>
      </c>
      <c r="F93" s="54" t="str">
        <f t="shared" si="3"/>
        <v/>
      </c>
      <c r="G93" s="54" t="str">
        <f t="shared" si="4"/>
        <v/>
      </c>
      <c r="H93" s="54" t="str">
        <f t="shared" si="5"/>
        <v/>
      </c>
    </row>
    <row r="94" spans="5:8" x14ac:dyDescent="0.25">
      <c r="E94" s="54" t="str">
        <f>IF(A94="","",SUMIF('Daftar Transaksi'!D:D,A94,'Daftar Transaksi'!F:F))</f>
        <v/>
      </c>
      <c r="F94" s="54" t="str">
        <f t="shared" si="3"/>
        <v/>
      </c>
      <c r="G94" s="54" t="str">
        <f t="shared" si="4"/>
        <v/>
      </c>
      <c r="H94" s="54" t="str">
        <f t="shared" si="5"/>
        <v/>
      </c>
    </row>
    <row r="95" spans="5:8" x14ac:dyDescent="0.25">
      <c r="E95" s="54" t="str">
        <f>IF(A95="","",SUMIF('Daftar Transaksi'!D:D,A95,'Daftar Transaksi'!F:F))</f>
        <v/>
      </c>
      <c r="F95" s="54" t="str">
        <f t="shared" si="3"/>
        <v/>
      </c>
      <c r="G95" s="54" t="str">
        <f t="shared" si="4"/>
        <v/>
      </c>
      <c r="H95" s="54" t="str">
        <f t="shared" si="5"/>
        <v/>
      </c>
    </row>
    <row r="96" spans="5:8" x14ac:dyDescent="0.25">
      <c r="E96" s="54" t="str">
        <f>IF(A96="","",SUMIF('Daftar Transaksi'!D:D,A96,'Daftar Transaksi'!F:F))</f>
        <v/>
      </c>
      <c r="F96" s="54" t="str">
        <f t="shared" si="3"/>
        <v/>
      </c>
      <c r="G96" s="54" t="str">
        <f t="shared" si="4"/>
        <v/>
      </c>
      <c r="H96" s="54" t="str">
        <f t="shared" si="5"/>
        <v/>
      </c>
    </row>
    <row r="97" spans="5:8" x14ac:dyDescent="0.25">
      <c r="E97" s="54" t="str">
        <f>IF(A97="","",SUMIF('Daftar Transaksi'!D:D,A97,'Daftar Transaksi'!F:F))</f>
        <v/>
      </c>
      <c r="F97" s="54" t="str">
        <f t="shared" si="3"/>
        <v/>
      </c>
      <c r="G97" s="54" t="str">
        <f t="shared" si="4"/>
        <v/>
      </c>
      <c r="H97" s="54" t="str">
        <f t="shared" si="5"/>
        <v/>
      </c>
    </row>
    <row r="98" spans="5:8" x14ac:dyDescent="0.25">
      <c r="E98" s="54" t="str">
        <f>IF(A98="","",SUMIF('Daftar Transaksi'!D:D,A98,'Daftar Transaksi'!F:F))</f>
        <v/>
      </c>
      <c r="F98" s="54" t="str">
        <f t="shared" si="3"/>
        <v/>
      </c>
      <c r="G98" s="54" t="str">
        <f t="shared" si="4"/>
        <v/>
      </c>
      <c r="H98" s="54" t="str">
        <f t="shared" si="5"/>
        <v/>
      </c>
    </row>
    <row r="99" spans="5:8" x14ac:dyDescent="0.25">
      <c r="E99" s="54" t="str">
        <f>IF(A99="","",SUMIF('Daftar Transaksi'!D:D,A99,'Daftar Transaksi'!F:F))</f>
        <v/>
      </c>
      <c r="F99" s="54" t="str">
        <f t="shared" si="3"/>
        <v/>
      </c>
      <c r="G99" s="54" t="str">
        <f t="shared" si="4"/>
        <v/>
      </c>
      <c r="H99" s="54" t="str">
        <f t="shared" si="5"/>
        <v/>
      </c>
    </row>
    <row r="100" spans="5:8" x14ac:dyDescent="0.25">
      <c r="E100" s="54" t="str">
        <f>IF(A100="","",SUMIF('Daftar Transaksi'!D:D,A100,'Daftar Transaksi'!F:F))</f>
        <v/>
      </c>
      <c r="F100" s="54" t="str">
        <f t="shared" si="3"/>
        <v/>
      </c>
      <c r="G100" s="54" t="str">
        <f t="shared" si="4"/>
        <v/>
      </c>
      <c r="H100" s="54" t="str">
        <f t="shared" si="5"/>
        <v/>
      </c>
    </row>
    <row r="101" spans="5:8" x14ac:dyDescent="0.25">
      <c r="E101" s="54" t="str">
        <f>IF(A101="","",SUMIF('Daftar Transaksi'!D:D,A101,'Daftar Transaksi'!F:F))</f>
        <v/>
      </c>
      <c r="F101" s="54" t="str">
        <f t="shared" si="3"/>
        <v/>
      </c>
      <c r="G101" s="54" t="str">
        <f t="shared" si="4"/>
        <v/>
      </c>
      <c r="H101" s="54" t="str">
        <f t="shared" si="5"/>
        <v/>
      </c>
    </row>
    <row r="102" spans="5:8" x14ac:dyDescent="0.25">
      <c r="E102" s="54" t="str">
        <f>IF(A102="","",SUMIF('Daftar Transaksi'!D:D,A102,'Daftar Transaksi'!F:F))</f>
        <v/>
      </c>
      <c r="F102" s="54" t="str">
        <f t="shared" si="3"/>
        <v/>
      </c>
      <c r="G102" s="54" t="str">
        <f t="shared" si="4"/>
        <v/>
      </c>
      <c r="H102" s="54" t="str">
        <f t="shared" si="5"/>
        <v/>
      </c>
    </row>
    <row r="103" spans="5:8" x14ac:dyDescent="0.25">
      <c r="E103" s="54" t="str">
        <f>IF(A103="","",SUMIF('Daftar Transaksi'!D:D,A103,'Daftar Transaksi'!F:F))</f>
        <v/>
      </c>
      <c r="F103" s="54" t="str">
        <f t="shared" si="3"/>
        <v/>
      </c>
      <c r="G103" s="54" t="str">
        <f t="shared" si="4"/>
        <v/>
      </c>
      <c r="H103" s="54" t="str">
        <f t="shared" si="5"/>
        <v/>
      </c>
    </row>
    <row r="104" spans="5:8" x14ac:dyDescent="0.25">
      <c r="E104" s="54" t="str">
        <f>IF(A104="","",SUMIF('Daftar Transaksi'!D:D,A104,'Daftar Transaksi'!F:F))</f>
        <v/>
      </c>
      <c r="F104" s="54" t="str">
        <f t="shared" si="3"/>
        <v/>
      </c>
      <c r="G104" s="54" t="str">
        <f t="shared" si="4"/>
        <v/>
      </c>
      <c r="H104" s="54" t="str">
        <f t="shared" si="5"/>
        <v/>
      </c>
    </row>
    <row r="105" spans="5:8" x14ac:dyDescent="0.25">
      <c r="E105" s="54" t="str">
        <f>IF(A105="","",SUMIF('Daftar Transaksi'!D:D,A105,'Daftar Transaksi'!F:F))</f>
        <v/>
      </c>
      <c r="F105" s="54" t="str">
        <f t="shared" si="3"/>
        <v/>
      </c>
      <c r="G105" s="54" t="str">
        <f t="shared" si="4"/>
        <v/>
      </c>
      <c r="H105" s="54" t="str">
        <f t="shared" si="5"/>
        <v/>
      </c>
    </row>
    <row r="106" spans="5:8" x14ac:dyDescent="0.25">
      <c r="E106" s="54" t="str">
        <f>IF(A106="","",SUMIF('Daftar Transaksi'!D:D,A106,'Daftar Transaksi'!F:F))</f>
        <v/>
      </c>
      <c r="F106" s="54" t="str">
        <f t="shared" si="3"/>
        <v/>
      </c>
      <c r="G106" s="54" t="str">
        <f t="shared" si="4"/>
        <v/>
      </c>
      <c r="H106" s="54" t="str">
        <f t="shared" si="5"/>
        <v/>
      </c>
    </row>
    <row r="107" spans="5:8" x14ac:dyDescent="0.25">
      <c r="E107" s="54" t="str">
        <f>IF(A107="","",SUMIF('Daftar Transaksi'!D:D,A107,'Daftar Transaksi'!F:F))</f>
        <v/>
      </c>
      <c r="F107" s="54" t="str">
        <f t="shared" si="3"/>
        <v/>
      </c>
      <c r="G107" s="54" t="str">
        <f t="shared" si="4"/>
        <v/>
      </c>
      <c r="H107" s="54" t="str">
        <f t="shared" si="5"/>
        <v/>
      </c>
    </row>
    <row r="108" spans="5:8" x14ac:dyDescent="0.25">
      <c r="E108" s="54" t="str">
        <f>IF(A108="","",SUMIF('Daftar Transaksi'!D:D,A108,'Daftar Transaksi'!F:F))</f>
        <v/>
      </c>
      <c r="F108" s="54" t="str">
        <f t="shared" si="3"/>
        <v/>
      </c>
      <c r="G108" s="54" t="str">
        <f t="shared" si="4"/>
        <v/>
      </c>
      <c r="H108" s="54" t="str">
        <f t="shared" si="5"/>
        <v/>
      </c>
    </row>
    <row r="109" spans="5:8" x14ac:dyDescent="0.25">
      <c r="E109" s="54" t="str">
        <f>IF(A109="","",SUMIF('Daftar Transaksi'!D:D,A109,'Daftar Transaksi'!F:F))</f>
        <v/>
      </c>
      <c r="F109" s="54" t="str">
        <f t="shared" si="3"/>
        <v/>
      </c>
      <c r="G109" s="54" t="str">
        <f t="shared" si="4"/>
        <v/>
      </c>
      <c r="H109" s="54" t="str">
        <f t="shared" si="5"/>
        <v/>
      </c>
    </row>
    <row r="110" spans="5:8" x14ac:dyDescent="0.25">
      <c r="E110" s="54" t="str">
        <f>IF(A110="","",SUMIF('Daftar Transaksi'!D:D,A110,'Daftar Transaksi'!F:F))</f>
        <v/>
      </c>
      <c r="F110" s="54" t="str">
        <f t="shared" si="3"/>
        <v/>
      </c>
      <c r="G110" s="54" t="str">
        <f t="shared" si="4"/>
        <v/>
      </c>
      <c r="H110" s="54" t="str">
        <f t="shared" si="5"/>
        <v/>
      </c>
    </row>
    <row r="111" spans="5:8" x14ac:dyDescent="0.25">
      <c r="E111" s="54" t="str">
        <f>IF(A111="","",SUMIF('Daftar Transaksi'!D:D,A111,'Daftar Transaksi'!F:F))</f>
        <v/>
      </c>
      <c r="F111" s="54" t="str">
        <f t="shared" si="3"/>
        <v/>
      </c>
      <c r="G111" s="54" t="str">
        <f t="shared" si="4"/>
        <v/>
      </c>
      <c r="H111" s="54" t="str">
        <f t="shared" si="5"/>
        <v/>
      </c>
    </row>
    <row r="112" spans="5:8" x14ac:dyDescent="0.25">
      <c r="E112" s="54" t="str">
        <f>IF(A112="","",SUMIF('Daftar Transaksi'!D:D,A112,'Daftar Transaksi'!F:F))</f>
        <v/>
      </c>
      <c r="F112" s="54" t="str">
        <f t="shared" si="3"/>
        <v/>
      </c>
      <c r="G112" s="54" t="str">
        <f t="shared" si="4"/>
        <v/>
      </c>
      <c r="H112" s="54" t="str">
        <f t="shared" si="5"/>
        <v/>
      </c>
    </row>
    <row r="113" spans="5:8" x14ac:dyDescent="0.25">
      <c r="E113" s="54" t="str">
        <f>IF(A113="","",SUMIF('Daftar Transaksi'!D:D,A113,'Daftar Transaksi'!F:F))</f>
        <v/>
      </c>
      <c r="F113" s="54" t="str">
        <f t="shared" si="3"/>
        <v/>
      </c>
      <c r="G113" s="54" t="str">
        <f t="shared" si="4"/>
        <v/>
      </c>
      <c r="H113" s="54" t="str">
        <f t="shared" si="5"/>
        <v/>
      </c>
    </row>
    <row r="114" spans="5:8" x14ac:dyDescent="0.25">
      <c r="E114" s="54" t="str">
        <f>IF(A114="","",SUMIF('Daftar Transaksi'!D:D,A114,'Daftar Transaksi'!F:F))</f>
        <v/>
      </c>
      <c r="F114" s="54" t="str">
        <f t="shared" si="3"/>
        <v/>
      </c>
      <c r="G114" s="54" t="str">
        <f t="shared" si="4"/>
        <v/>
      </c>
      <c r="H114" s="54" t="str">
        <f t="shared" si="5"/>
        <v/>
      </c>
    </row>
    <row r="115" spans="5:8" x14ac:dyDescent="0.25">
      <c r="E115" s="54" t="str">
        <f>IF(A115="","",SUMIF('Daftar Transaksi'!D:D,A115,'Daftar Transaksi'!F:F))</f>
        <v/>
      </c>
      <c r="F115" s="54" t="str">
        <f t="shared" si="3"/>
        <v/>
      </c>
      <c r="G115" s="54" t="str">
        <f t="shared" si="4"/>
        <v/>
      </c>
      <c r="H115" s="54" t="str">
        <f t="shared" si="5"/>
        <v/>
      </c>
    </row>
    <row r="116" spans="5:8" x14ac:dyDescent="0.25">
      <c r="E116" s="54" t="str">
        <f>IF(A116="","",SUMIF('Daftar Transaksi'!D:D,A116,'Daftar Transaksi'!F:F))</f>
        <v/>
      </c>
      <c r="F116" s="54" t="str">
        <f t="shared" si="3"/>
        <v/>
      </c>
      <c r="G116" s="54" t="str">
        <f t="shared" si="4"/>
        <v/>
      </c>
      <c r="H116" s="54" t="str">
        <f t="shared" si="5"/>
        <v/>
      </c>
    </row>
    <row r="117" spans="5:8" x14ac:dyDescent="0.25">
      <c r="E117" s="54" t="str">
        <f>IF(A117="","",SUMIF('Daftar Transaksi'!D:D,A117,'Daftar Transaksi'!F:F))</f>
        <v/>
      </c>
      <c r="F117" s="54" t="str">
        <f t="shared" si="3"/>
        <v/>
      </c>
      <c r="G117" s="54" t="str">
        <f t="shared" si="4"/>
        <v/>
      </c>
      <c r="H117" s="54" t="str">
        <f t="shared" si="5"/>
        <v/>
      </c>
    </row>
    <row r="118" spans="5:8" x14ac:dyDescent="0.25">
      <c r="E118" s="54" t="str">
        <f>IF(A118="","",SUMIF('Daftar Transaksi'!D:D,A118,'Daftar Transaksi'!F:F))</f>
        <v/>
      </c>
      <c r="F118" s="54" t="str">
        <f t="shared" si="3"/>
        <v/>
      </c>
      <c r="G118" s="54" t="str">
        <f t="shared" si="4"/>
        <v/>
      </c>
      <c r="H118" s="54" t="str">
        <f t="shared" si="5"/>
        <v/>
      </c>
    </row>
    <row r="119" spans="5:8" x14ac:dyDescent="0.25">
      <c r="E119" s="54" t="str">
        <f>IF(A119="","",SUMIF('Daftar Transaksi'!D:D,A119,'Daftar Transaksi'!F:F))</f>
        <v/>
      </c>
      <c r="F119" s="54" t="str">
        <f t="shared" si="3"/>
        <v/>
      </c>
      <c r="G119" s="54" t="str">
        <f t="shared" si="4"/>
        <v/>
      </c>
      <c r="H119" s="54" t="str">
        <f t="shared" si="5"/>
        <v/>
      </c>
    </row>
    <row r="120" spans="5:8" x14ac:dyDescent="0.25">
      <c r="E120" s="54" t="str">
        <f>IF(A120="","",SUMIF('Daftar Transaksi'!D:D,A120,'Daftar Transaksi'!F:F))</f>
        <v/>
      </c>
      <c r="F120" s="54" t="str">
        <f t="shared" si="3"/>
        <v/>
      </c>
      <c r="G120" s="54" t="str">
        <f t="shared" si="4"/>
        <v/>
      </c>
      <c r="H120" s="54" t="str">
        <f t="shared" si="5"/>
        <v/>
      </c>
    </row>
    <row r="121" spans="5:8" x14ac:dyDescent="0.25">
      <c r="E121" s="54" t="str">
        <f>IF(A121="","",SUMIF('Daftar Transaksi'!D:D,A121,'Daftar Transaksi'!F:F))</f>
        <v/>
      </c>
      <c r="F121" s="54" t="str">
        <f t="shared" si="3"/>
        <v/>
      </c>
      <c r="G121" s="54" t="str">
        <f t="shared" si="4"/>
        <v/>
      </c>
      <c r="H121" s="54" t="str">
        <f t="shared" si="5"/>
        <v/>
      </c>
    </row>
    <row r="122" spans="5:8" x14ac:dyDescent="0.25">
      <c r="E122" s="54" t="str">
        <f>IF(A122="","",SUMIF('Daftar Transaksi'!D:D,A122,'Daftar Transaksi'!F:F))</f>
        <v/>
      </c>
      <c r="F122" s="54" t="str">
        <f t="shared" si="3"/>
        <v/>
      </c>
      <c r="G122" s="54" t="str">
        <f t="shared" si="4"/>
        <v/>
      </c>
      <c r="H122" s="54" t="str">
        <f t="shared" si="5"/>
        <v/>
      </c>
    </row>
    <row r="123" spans="5:8" x14ac:dyDescent="0.25">
      <c r="E123" s="54" t="str">
        <f>IF(A123="","",SUMIF('Daftar Transaksi'!D:D,A123,'Daftar Transaksi'!F:F))</f>
        <v/>
      </c>
      <c r="F123" s="54" t="str">
        <f t="shared" si="3"/>
        <v/>
      </c>
      <c r="G123" s="54" t="str">
        <f t="shared" si="4"/>
        <v/>
      </c>
      <c r="H123" s="54" t="str">
        <f t="shared" si="5"/>
        <v/>
      </c>
    </row>
    <row r="124" spans="5:8" x14ac:dyDescent="0.25">
      <c r="E124" s="54" t="str">
        <f>IF(A124="","",SUMIF('Daftar Transaksi'!D:D,A124,'Daftar Transaksi'!F:F))</f>
        <v/>
      </c>
      <c r="F124" s="54" t="str">
        <f t="shared" si="3"/>
        <v/>
      </c>
      <c r="G124" s="54" t="str">
        <f t="shared" si="4"/>
        <v/>
      </c>
      <c r="H124" s="54" t="str">
        <f t="shared" si="5"/>
        <v/>
      </c>
    </row>
    <row r="125" spans="5:8" x14ac:dyDescent="0.25">
      <c r="E125" s="54" t="str">
        <f>IF(A125="","",SUMIF('Daftar Transaksi'!D:D,A125,'Daftar Transaksi'!F:F))</f>
        <v/>
      </c>
      <c r="F125" s="54" t="str">
        <f t="shared" si="3"/>
        <v/>
      </c>
      <c r="G125" s="54" t="str">
        <f t="shared" si="4"/>
        <v/>
      </c>
      <c r="H125" s="54" t="str">
        <f t="shared" si="5"/>
        <v/>
      </c>
    </row>
    <row r="126" spans="5:8" x14ac:dyDescent="0.25">
      <c r="E126" s="54" t="str">
        <f>IF(A126="","",SUMIF('Daftar Transaksi'!D:D,A126,'Daftar Transaksi'!F:F))</f>
        <v/>
      </c>
      <c r="F126" s="54" t="str">
        <f t="shared" si="3"/>
        <v/>
      </c>
      <c r="G126" s="54" t="str">
        <f t="shared" si="4"/>
        <v/>
      </c>
      <c r="H126" s="54" t="str">
        <f t="shared" si="5"/>
        <v/>
      </c>
    </row>
    <row r="127" spans="5:8" x14ac:dyDescent="0.25">
      <c r="E127" s="54" t="str">
        <f>IF(A127="","",SUMIF('Daftar Transaksi'!D:D,A127,'Daftar Transaksi'!F:F))</f>
        <v/>
      </c>
      <c r="F127" s="54" t="str">
        <f t="shared" ref="F127:F190" si="6">IF(A127="","",D127-E127)</f>
        <v/>
      </c>
      <c r="G127" s="54" t="str">
        <f t="shared" ref="G127:G190" si="7">IF(A127="","",C127*E127)</f>
        <v/>
      </c>
      <c r="H127" s="54" t="str">
        <f t="shared" ref="H127:H190" si="8">IF(A127="","",G127-(B127*E127))</f>
        <v/>
      </c>
    </row>
    <row r="128" spans="5:8" x14ac:dyDescent="0.25">
      <c r="E128" s="54" t="str">
        <f>IF(A128="","",SUMIF('Daftar Transaksi'!D:D,A128,'Daftar Transaksi'!F:F))</f>
        <v/>
      </c>
      <c r="F128" s="54" t="str">
        <f t="shared" si="6"/>
        <v/>
      </c>
      <c r="G128" s="54" t="str">
        <f t="shared" si="7"/>
        <v/>
      </c>
      <c r="H128" s="54" t="str">
        <f t="shared" si="8"/>
        <v/>
      </c>
    </row>
    <row r="129" spans="5:8" x14ac:dyDescent="0.25">
      <c r="E129" s="54" t="str">
        <f>IF(A129="","",SUMIF('Daftar Transaksi'!D:D,A129,'Daftar Transaksi'!F:F))</f>
        <v/>
      </c>
      <c r="F129" s="54" t="str">
        <f t="shared" si="6"/>
        <v/>
      </c>
      <c r="G129" s="54" t="str">
        <f t="shared" si="7"/>
        <v/>
      </c>
      <c r="H129" s="54" t="str">
        <f t="shared" si="8"/>
        <v/>
      </c>
    </row>
    <row r="130" spans="5:8" x14ac:dyDescent="0.25">
      <c r="E130" s="54" t="str">
        <f>IF(A130="","",SUMIF('Daftar Transaksi'!D:D,A130,'Daftar Transaksi'!F:F))</f>
        <v/>
      </c>
      <c r="F130" s="54" t="str">
        <f t="shared" si="6"/>
        <v/>
      </c>
      <c r="G130" s="54" t="str">
        <f t="shared" si="7"/>
        <v/>
      </c>
      <c r="H130" s="54" t="str">
        <f t="shared" si="8"/>
        <v/>
      </c>
    </row>
    <row r="131" spans="5:8" x14ac:dyDescent="0.25">
      <c r="E131" s="54" t="str">
        <f>IF(A131="","",SUMIF('Daftar Transaksi'!D:D,A131,'Daftar Transaksi'!F:F))</f>
        <v/>
      </c>
      <c r="F131" s="54" t="str">
        <f t="shared" si="6"/>
        <v/>
      </c>
      <c r="G131" s="54" t="str">
        <f t="shared" si="7"/>
        <v/>
      </c>
      <c r="H131" s="54" t="str">
        <f t="shared" si="8"/>
        <v/>
      </c>
    </row>
    <row r="132" spans="5:8" x14ac:dyDescent="0.25">
      <c r="E132" s="54" t="str">
        <f>IF(A132="","",SUMIF('Daftar Transaksi'!D:D,A132,'Daftar Transaksi'!F:F))</f>
        <v/>
      </c>
      <c r="F132" s="54" t="str">
        <f t="shared" si="6"/>
        <v/>
      </c>
      <c r="G132" s="54" t="str">
        <f t="shared" si="7"/>
        <v/>
      </c>
      <c r="H132" s="54" t="str">
        <f t="shared" si="8"/>
        <v/>
      </c>
    </row>
    <row r="133" spans="5:8" x14ac:dyDescent="0.25">
      <c r="E133" s="54" t="str">
        <f>IF(A133="","",SUMIF('Daftar Transaksi'!D:D,A133,'Daftar Transaksi'!F:F))</f>
        <v/>
      </c>
      <c r="F133" s="54" t="str">
        <f t="shared" si="6"/>
        <v/>
      </c>
      <c r="G133" s="54" t="str">
        <f t="shared" si="7"/>
        <v/>
      </c>
      <c r="H133" s="54" t="str">
        <f t="shared" si="8"/>
        <v/>
      </c>
    </row>
    <row r="134" spans="5:8" x14ac:dyDescent="0.25">
      <c r="E134" s="54" t="str">
        <f>IF(A134="","",SUMIF('Daftar Transaksi'!D:D,A134,'Daftar Transaksi'!F:F))</f>
        <v/>
      </c>
      <c r="F134" s="54" t="str">
        <f t="shared" si="6"/>
        <v/>
      </c>
      <c r="G134" s="54" t="str">
        <f t="shared" si="7"/>
        <v/>
      </c>
      <c r="H134" s="54" t="str">
        <f t="shared" si="8"/>
        <v/>
      </c>
    </row>
    <row r="135" spans="5:8" x14ac:dyDescent="0.25">
      <c r="E135" s="54" t="str">
        <f>IF(A135="","",SUMIF('Daftar Transaksi'!D:D,A135,'Daftar Transaksi'!F:F))</f>
        <v/>
      </c>
      <c r="F135" s="54" t="str">
        <f t="shared" si="6"/>
        <v/>
      </c>
      <c r="G135" s="54" t="str">
        <f t="shared" si="7"/>
        <v/>
      </c>
      <c r="H135" s="54" t="str">
        <f t="shared" si="8"/>
        <v/>
      </c>
    </row>
    <row r="136" spans="5:8" x14ac:dyDescent="0.25">
      <c r="E136" s="54" t="str">
        <f>IF(A136="","",SUMIF('Daftar Transaksi'!D:D,A136,'Daftar Transaksi'!F:F))</f>
        <v/>
      </c>
      <c r="F136" s="54" t="str">
        <f t="shared" si="6"/>
        <v/>
      </c>
      <c r="G136" s="54" t="str">
        <f t="shared" si="7"/>
        <v/>
      </c>
      <c r="H136" s="54" t="str">
        <f t="shared" si="8"/>
        <v/>
      </c>
    </row>
    <row r="137" spans="5:8" x14ac:dyDescent="0.25">
      <c r="E137" s="54" t="str">
        <f>IF(A137="","",SUMIF('Daftar Transaksi'!D:D,A137,'Daftar Transaksi'!F:F))</f>
        <v/>
      </c>
      <c r="F137" s="54" t="str">
        <f t="shared" si="6"/>
        <v/>
      </c>
      <c r="G137" s="54" t="str">
        <f t="shared" si="7"/>
        <v/>
      </c>
      <c r="H137" s="54" t="str">
        <f t="shared" si="8"/>
        <v/>
      </c>
    </row>
    <row r="138" spans="5:8" x14ac:dyDescent="0.25">
      <c r="E138" s="54" t="str">
        <f>IF(A138="","",SUMIF('Daftar Transaksi'!D:D,A138,'Daftar Transaksi'!F:F))</f>
        <v/>
      </c>
      <c r="F138" s="54" t="str">
        <f t="shared" si="6"/>
        <v/>
      </c>
      <c r="G138" s="54" t="str">
        <f t="shared" si="7"/>
        <v/>
      </c>
      <c r="H138" s="54" t="str">
        <f t="shared" si="8"/>
        <v/>
      </c>
    </row>
    <row r="139" spans="5:8" x14ac:dyDescent="0.25">
      <c r="E139" s="54" t="str">
        <f>IF(A139="","",SUMIF('Daftar Transaksi'!D:D,A139,'Daftar Transaksi'!F:F))</f>
        <v/>
      </c>
      <c r="F139" s="54" t="str">
        <f t="shared" si="6"/>
        <v/>
      </c>
      <c r="G139" s="54" t="str">
        <f t="shared" si="7"/>
        <v/>
      </c>
      <c r="H139" s="54" t="str">
        <f t="shared" si="8"/>
        <v/>
      </c>
    </row>
    <row r="140" spans="5:8" x14ac:dyDescent="0.25">
      <c r="E140" s="54" t="str">
        <f>IF(A140="","",SUMIF('Daftar Transaksi'!D:D,A140,'Daftar Transaksi'!F:F))</f>
        <v/>
      </c>
      <c r="F140" s="54" t="str">
        <f t="shared" si="6"/>
        <v/>
      </c>
      <c r="G140" s="54" t="str">
        <f t="shared" si="7"/>
        <v/>
      </c>
      <c r="H140" s="54" t="str">
        <f t="shared" si="8"/>
        <v/>
      </c>
    </row>
    <row r="141" spans="5:8" x14ac:dyDescent="0.25">
      <c r="E141" s="54" t="str">
        <f>IF(A141="","",SUMIF('Daftar Transaksi'!D:D,A141,'Daftar Transaksi'!F:F))</f>
        <v/>
      </c>
      <c r="F141" s="54" t="str">
        <f t="shared" si="6"/>
        <v/>
      </c>
      <c r="G141" s="54" t="str">
        <f t="shared" si="7"/>
        <v/>
      </c>
      <c r="H141" s="54" t="str">
        <f t="shared" si="8"/>
        <v/>
      </c>
    </row>
    <row r="142" spans="5:8" x14ac:dyDescent="0.25">
      <c r="E142" s="54" t="str">
        <f>IF(A142="","",SUMIF('Daftar Transaksi'!D:D,A142,'Daftar Transaksi'!F:F))</f>
        <v/>
      </c>
      <c r="F142" s="54" t="str">
        <f t="shared" si="6"/>
        <v/>
      </c>
      <c r="G142" s="54" t="str">
        <f t="shared" si="7"/>
        <v/>
      </c>
      <c r="H142" s="54" t="str">
        <f t="shared" si="8"/>
        <v/>
      </c>
    </row>
    <row r="143" spans="5:8" x14ac:dyDescent="0.25">
      <c r="E143" s="54" t="str">
        <f>IF(A143="","",SUMIF('Daftar Transaksi'!D:D,A143,'Daftar Transaksi'!F:F))</f>
        <v/>
      </c>
      <c r="F143" s="54" t="str">
        <f t="shared" si="6"/>
        <v/>
      </c>
      <c r="G143" s="54" t="str">
        <f t="shared" si="7"/>
        <v/>
      </c>
      <c r="H143" s="54" t="str">
        <f t="shared" si="8"/>
        <v/>
      </c>
    </row>
    <row r="144" spans="5:8" x14ac:dyDescent="0.25">
      <c r="E144" s="54" t="str">
        <f>IF(A144="","",SUMIF('Daftar Transaksi'!D:D,A144,'Daftar Transaksi'!F:F))</f>
        <v/>
      </c>
      <c r="F144" s="54" t="str">
        <f t="shared" si="6"/>
        <v/>
      </c>
      <c r="G144" s="54" t="str">
        <f t="shared" si="7"/>
        <v/>
      </c>
      <c r="H144" s="54" t="str">
        <f t="shared" si="8"/>
        <v/>
      </c>
    </row>
    <row r="145" spans="5:8" x14ac:dyDescent="0.25">
      <c r="E145" s="54" t="str">
        <f>IF(A145="","",SUMIF('Daftar Transaksi'!D:D,A145,'Daftar Transaksi'!F:F))</f>
        <v/>
      </c>
      <c r="F145" s="54" t="str">
        <f t="shared" si="6"/>
        <v/>
      </c>
      <c r="G145" s="54" t="str">
        <f t="shared" si="7"/>
        <v/>
      </c>
      <c r="H145" s="54" t="str">
        <f t="shared" si="8"/>
        <v/>
      </c>
    </row>
    <row r="146" spans="5:8" x14ac:dyDescent="0.25">
      <c r="E146" s="54" t="str">
        <f>IF(A146="","",SUMIF('Daftar Transaksi'!D:D,A146,'Daftar Transaksi'!F:F))</f>
        <v/>
      </c>
      <c r="F146" s="54" t="str">
        <f t="shared" si="6"/>
        <v/>
      </c>
      <c r="G146" s="54" t="str">
        <f t="shared" si="7"/>
        <v/>
      </c>
      <c r="H146" s="54" t="str">
        <f t="shared" si="8"/>
        <v/>
      </c>
    </row>
    <row r="147" spans="5:8" x14ac:dyDescent="0.25">
      <c r="E147" s="54" t="str">
        <f>IF(A147="","",SUMIF('Daftar Transaksi'!D:D,A147,'Daftar Transaksi'!F:F))</f>
        <v/>
      </c>
      <c r="F147" s="54" t="str">
        <f t="shared" si="6"/>
        <v/>
      </c>
      <c r="G147" s="54" t="str">
        <f t="shared" si="7"/>
        <v/>
      </c>
      <c r="H147" s="54" t="str">
        <f t="shared" si="8"/>
        <v/>
      </c>
    </row>
    <row r="148" spans="5:8" x14ac:dyDescent="0.25">
      <c r="E148" s="54" t="str">
        <f>IF(A148="","",SUMIF('Daftar Transaksi'!D:D,A148,'Daftar Transaksi'!F:F))</f>
        <v/>
      </c>
      <c r="F148" s="54" t="str">
        <f t="shared" si="6"/>
        <v/>
      </c>
      <c r="G148" s="54" t="str">
        <f t="shared" si="7"/>
        <v/>
      </c>
      <c r="H148" s="54" t="str">
        <f t="shared" si="8"/>
        <v/>
      </c>
    </row>
    <row r="149" spans="5:8" x14ac:dyDescent="0.25">
      <c r="E149" s="54" t="str">
        <f>IF(A149="","",SUMIF('Daftar Transaksi'!D:D,A149,'Daftar Transaksi'!F:F))</f>
        <v/>
      </c>
      <c r="F149" s="54" t="str">
        <f t="shared" si="6"/>
        <v/>
      </c>
      <c r="G149" s="54" t="str">
        <f t="shared" si="7"/>
        <v/>
      </c>
      <c r="H149" s="54" t="str">
        <f t="shared" si="8"/>
        <v/>
      </c>
    </row>
    <row r="150" spans="5:8" x14ac:dyDescent="0.25">
      <c r="E150" s="54" t="str">
        <f>IF(A150="","",SUMIF('Daftar Transaksi'!D:D,A150,'Daftar Transaksi'!F:F))</f>
        <v/>
      </c>
      <c r="F150" s="54" t="str">
        <f t="shared" si="6"/>
        <v/>
      </c>
      <c r="G150" s="54" t="str">
        <f t="shared" si="7"/>
        <v/>
      </c>
      <c r="H150" s="54" t="str">
        <f t="shared" si="8"/>
        <v/>
      </c>
    </row>
    <row r="151" spans="5:8" x14ac:dyDescent="0.25">
      <c r="E151" s="54" t="str">
        <f>IF(A151="","",SUMIF('Daftar Transaksi'!D:D,A151,'Daftar Transaksi'!F:F))</f>
        <v/>
      </c>
      <c r="F151" s="54" t="str">
        <f t="shared" si="6"/>
        <v/>
      </c>
      <c r="G151" s="54" t="str">
        <f t="shared" si="7"/>
        <v/>
      </c>
      <c r="H151" s="54" t="str">
        <f t="shared" si="8"/>
        <v/>
      </c>
    </row>
    <row r="152" spans="5:8" x14ac:dyDescent="0.25">
      <c r="E152" s="54" t="str">
        <f>IF(A152="","",SUMIF('Daftar Transaksi'!D:D,A152,'Daftar Transaksi'!F:F))</f>
        <v/>
      </c>
      <c r="F152" s="54" t="str">
        <f t="shared" si="6"/>
        <v/>
      </c>
      <c r="G152" s="54" t="str">
        <f t="shared" si="7"/>
        <v/>
      </c>
      <c r="H152" s="54" t="str">
        <f t="shared" si="8"/>
        <v/>
      </c>
    </row>
    <row r="153" spans="5:8" x14ac:dyDescent="0.25">
      <c r="E153" s="54" t="str">
        <f>IF(A153="","",SUMIF('Daftar Transaksi'!D:D,A153,'Daftar Transaksi'!F:F))</f>
        <v/>
      </c>
      <c r="F153" s="54" t="str">
        <f t="shared" si="6"/>
        <v/>
      </c>
      <c r="G153" s="54" t="str">
        <f t="shared" si="7"/>
        <v/>
      </c>
      <c r="H153" s="54" t="str">
        <f t="shared" si="8"/>
        <v/>
      </c>
    </row>
    <row r="154" spans="5:8" x14ac:dyDescent="0.25">
      <c r="E154" s="54" t="str">
        <f>IF(A154="","",SUMIF('Daftar Transaksi'!D:D,A154,'Daftar Transaksi'!F:F))</f>
        <v/>
      </c>
      <c r="F154" s="54" t="str">
        <f t="shared" si="6"/>
        <v/>
      </c>
      <c r="G154" s="54" t="str">
        <f t="shared" si="7"/>
        <v/>
      </c>
      <c r="H154" s="54" t="str">
        <f t="shared" si="8"/>
        <v/>
      </c>
    </row>
    <row r="155" spans="5:8" x14ac:dyDescent="0.25">
      <c r="E155" s="54" t="str">
        <f>IF(A155="","",SUMIF('Daftar Transaksi'!D:D,A155,'Daftar Transaksi'!F:F))</f>
        <v/>
      </c>
      <c r="F155" s="54" t="str">
        <f t="shared" si="6"/>
        <v/>
      </c>
      <c r="G155" s="54" t="str">
        <f t="shared" si="7"/>
        <v/>
      </c>
      <c r="H155" s="54" t="str">
        <f t="shared" si="8"/>
        <v/>
      </c>
    </row>
    <row r="156" spans="5:8" x14ac:dyDescent="0.25">
      <c r="E156" s="54" t="str">
        <f>IF(A156="","",SUMIF('Daftar Transaksi'!D:D,A156,'Daftar Transaksi'!F:F))</f>
        <v/>
      </c>
      <c r="F156" s="54" t="str">
        <f t="shared" si="6"/>
        <v/>
      </c>
      <c r="G156" s="54" t="str">
        <f t="shared" si="7"/>
        <v/>
      </c>
      <c r="H156" s="54" t="str">
        <f t="shared" si="8"/>
        <v/>
      </c>
    </row>
    <row r="157" spans="5:8" x14ac:dyDescent="0.25">
      <c r="E157" s="54" t="str">
        <f>IF(A157="","",SUMIF('Daftar Transaksi'!D:D,A157,'Daftar Transaksi'!F:F))</f>
        <v/>
      </c>
      <c r="F157" s="54" t="str">
        <f t="shared" si="6"/>
        <v/>
      </c>
      <c r="G157" s="54" t="str">
        <f t="shared" si="7"/>
        <v/>
      </c>
      <c r="H157" s="54" t="str">
        <f t="shared" si="8"/>
        <v/>
      </c>
    </row>
    <row r="158" spans="5:8" x14ac:dyDescent="0.25">
      <c r="E158" s="54" t="str">
        <f>IF(A158="","",SUMIF('Daftar Transaksi'!D:D,A158,'Daftar Transaksi'!F:F))</f>
        <v/>
      </c>
      <c r="F158" s="54" t="str">
        <f t="shared" si="6"/>
        <v/>
      </c>
      <c r="G158" s="54" t="str">
        <f t="shared" si="7"/>
        <v/>
      </c>
      <c r="H158" s="54" t="str">
        <f t="shared" si="8"/>
        <v/>
      </c>
    </row>
    <row r="159" spans="5:8" x14ac:dyDescent="0.25">
      <c r="E159" s="54" t="str">
        <f>IF(A159="","",SUMIF('Daftar Transaksi'!D:D,A159,'Daftar Transaksi'!F:F))</f>
        <v/>
      </c>
      <c r="F159" s="54" t="str">
        <f t="shared" si="6"/>
        <v/>
      </c>
      <c r="G159" s="54" t="str">
        <f t="shared" si="7"/>
        <v/>
      </c>
      <c r="H159" s="54" t="str">
        <f t="shared" si="8"/>
        <v/>
      </c>
    </row>
    <row r="160" spans="5:8" x14ac:dyDescent="0.25">
      <c r="E160" s="54" t="str">
        <f>IF(A160="","",SUMIF('Daftar Transaksi'!D:D,A160,'Daftar Transaksi'!F:F))</f>
        <v/>
      </c>
      <c r="F160" s="54" t="str">
        <f t="shared" si="6"/>
        <v/>
      </c>
      <c r="G160" s="54" t="str">
        <f t="shared" si="7"/>
        <v/>
      </c>
      <c r="H160" s="54" t="str">
        <f t="shared" si="8"/>
        <v/>
      </c>
    </row>
    <row r="161" spans="5:8" x14ac:dyDescent="0.25">
      <c r="E161" s="54" t="str">
        <f>IF(A161="","",SUMIF('Daftar Transaksi'!D:D,A161,'Daftar Transaksi'!F:F))</f>
        <v/>
      </c>
      <c r="F161" s="54" t="str">
        <f t="shared" si="6"/>
        <v/>
      </c>
      <c r="G161" s="54" t="str">
        <f t="shared" si="7"/>
        <v/>
      </c>
      <c r="H161" s="54" t="str">
        <f t="shared" si="8"/>
        <v/>
      </c>
    </row>
    <row r="162" spans="5:8" x14ac:dyDescent="0.25">
      <c r="E162" s="54" t="str">
        <f>IF(A162="","",SUMIF('Daftar Transaksi'!D:D,A162,'Daftar Transaksi'!F:F))</f>
        <v/>
      </c>
      <c r="F162" s="54" t="str">
        <f t="shared" si="6"/>
        <v/>
      </c>
      <c r="G162" s="54" t="str">
        <f t="shared" si="7"/>
        <v/>
      </c>
      <c r="H162" s="54" t="str">
        <f t="shared" si="8"/>
        <v/>
      </c>
    </row>
    <row r="163" spans="5:8" x14ac:dyDescent="0.25">
      <c r="E163" s="54" t="str">
        <f>IF(A163="","",SUMIF('Daftar Transaksi'!D:D,A163,'Daftar Transaksi'!F:F))</f>
        <v/>
      </c>
      <c r="F163" s="54" t="str">
        <f t="shared" si="6"/>
        <v/>
      </c>
      <c r="G163" s="54" t="str">
        <f t="shared" si="7"/>
        <v/>
      </c>
      <c r="H163" s="54" t="str">
        <f t="shared" si="8"/>
        <v/>
      </c>
    </row>
    <row r="164" spans="5:8" x14ac:dyDescent="0.25">
      <c r="E164" s="54" t="str">
        <f>IF(A164="","",SUMIF('Daftar Transaksi'!D:D,A164,'Daftar Transaksi'!F:F))</f>
        <v/>
      </c>
      <c r="F164" s="54" t="str">
        <f t="shared" si="6"/>
        <v/>
      </c>
      <c r="G164" s="54" t="str">
        <f t="shared" si="7"/>
        <v/>
      </c>
      <c r="H164" s="54" t="str">
        <f t="shared" si="8"/>
        <v/>
      </c>
    </row>
    <row r="165" spans="5:8" x14ac:dyDescent="0.25">
      <c r="E165" s="54" t="str">
        <f>IF(A165="","",SUMIF('Daftar Transaksi'!D:D,A165,'Daftar Transaksi'!F:F))</f>
        <v/>
      </c>
      <c r="F165" s="54" t="str">
        <f t="shared" si="6"/>
        <v/>
      </c>
      <c r="G165" s="54" t="str">
        <f t="shared" si="7"/>
        <v/>
      </c>
      <c r="H165" s="54" t="str">
        <f t="shared" si="8"/>
        <v/>
      </c>
    </row>
    <row r="166" spans="5:8" x14ac:dyDescent="0.25">
      <c r="E166" s="54" t="str">
        <f>IF(A166="","",SUMIF('Daftar Transaksi'!D:D,A166,'Daftar Transaksi'!F:F))</f>
        <v/>
      </c>
      <c r="F166" s="54" t="str">
        <f t="shared" si="6"/>
        <v/>
      </c>
      <c r="G166" s="54" t="str">
        <f t="shared" si="7"/>
        <v/>
      </c>
      <c r="H166" s="54" t="str">
        <f t="shared" si="8"/>
        <v/>
      </c>
    </row>
    <row r="167" spans="5:8" x14ac:dyDescent="0.25">
      <c r="E167" s="54" t="str">
        <f>IF(A167="","",SUMIF('Daftar Transaksi'!D:D,A167,'Daftar Transaksi'!F:F))</f>
        <v/>
      </c>
      <c r="F167" s="54" t="str">
        <f t="shared" si="6"/>
        <v/>
      </c>
      <c r="G167" s="54" t="str">
        <f t="shared" si="7"/>
        <v/>
      </c>
      <c r="H167" s="54" t="str">
        <f t="shared" si="8"/>
        <v/>
      </c>
    </row>
    <row r="168" spans="5:8" x14ac:dyDescent="0.25">
      <c r="E168" s="54" t="str">
        <f>IF(A168="","",SUMIF('Daftar Transaksi'!D:D,A168,'Daftar Transaksi'!F:F))</f>
        <v/>
      </c>
      <c r="F168" s="54" t="str">
        <f t="shared" si="6"/>
        <v/>
      </c>
      <c r="G168" s="54" t="str">
        <f t="shared" si="7"/>
        <v/>
      </c>
      <c r="H168" s="54" t="str">
        <f t="shared" si="8"/>
        <v/>
      </c>
    </row>
    <row r="169" spans="5:8" x14ac:dyDescent="0.25">
      <c r="E169" s="54" t="str">
        <f>IF(A169="","",SUMIF('Daftar Transaksi'!D:D,A169,'Daftar Transaksi'!F:F))</f>
        <v/>
      </c>
      <c r="F169" s="54" t="str">
        <f t="shared" si="6"/>
        <v/>
      </c>
      <c r="G169" s="54" t="str">
        <f t="shared" si="7"/>
        <v/>
      </c>
      <c r="H169" s="54" t="str">
        <f t="shared" si="8"/>
        <v/>
      </c>
    </row>
    <row r="170" spans="5:8" x14ac:dyDescent="0.25">
      <c r="E170" s="54" t="str">
        <f>IF(A170="","",SUMIF('Daftar Transaksi'!D:D,A170,'Daftar Transaksi'!F:F))</f>
        <v/>
      </c>
      <c r="F170" s="54" t="str">
        <f t="shared" si="6"/>
        <v/>
      </c>
      <c r="G170" s="54" t="str">
        <f t="shared" si="7"/>
        <v/>
      </c>
      <c r="H170" s="54" t="str">
        <f t="shared" si="8"/>
        <v/>
      </c>
    </row>
    <row r="171" spans="5:8" x14ac:dyDescent="0.25">
      <c r="E171" s="54" t="str">
        <f>IF(A171="","",SUMIF('Daftar Transaksi'!D:D,A171,'Daftar Transaksi'!F:F))</f>
        <v/>
      </c>
      <c r="F171" s="54" t="str">
        <f t="shared" si="6"/>
        <v/>
      </c>
      <c r="G171" s="54" t="str">
        <f t="shared" si="7"/>
        <v/>
      </c>
      <c r="H171" s="54" t="str">
        <f t="shared" si="8"/>
        <v/>
      </c>
    </row>
    <row r="172" spans="5:8" x14ac:dyDescent="0.25">
      <c r="E172" s="54" t="str">
        <f>IF(A172="","",SUMIF('Daftar Transaksi'!D:D,A172,'Daftar Transaksi'!F:F))</f>
        <v/>
      </c>
      <c r="F172" s="54" t="str">
        <f t="shared" si="6"/>
        <v/>
      </c>
      <c r="G172" s="54" t="str">
        <f t="shared" si="7"/>
        <v/>
      </c>
      <c r="H172" s="54" t="str">
        <f t="shared" si="8"/>
        <v/>
      </c>
    </row>
    <row r="173" spans="5:8" x14ac:dyDescent="0.25">
      <c r="E173" s="54" t="str">
        <f>IF(A173="","",SUMIF('Daftar Transaksi'!D:D,A173,'Daftar Transaksi'!F:F))</f>
        <v/>
      </c>
      <c r="F173" s="54" t="str">
        <f t="shared" si="6"/>
        <v/>
      </c>
      <c r="G173" s="54" t="str">
        <f t="shared" si="7"/>
        <v/>
      </c>
      <c r="H173" s="54" t="str">
        <f t="shared" si="8"/>
        <v/>
      </c>
    </row>
    <row r="174" spans="5:8" x14ac:dyDescent="0.25">
      <c r="E174" s="54" t="str">
        <f>IF(A174="","",SUMIF('Daftar Transaksi'!D:D,A174,'Daftar Transaksi'!F:F))</f>
        <v/>
      </c>
      <c r="F174" s="54" t="str">
        <f t="shared" si="6"/>
        <v/>
      </c>
      <c r="G174" s="54" t="str">
        <f t="shared" si="7"/>
        <v/>
      </c>
      <c r="H174" s="54" t="str">
        <f t="shared" si="8"/>
        <v/>
      </c>
    </row>
    <row r="175" spans="5:8" x14ac:dyDescent="0.25">
      <c r="E175" s="54" t="str">
        <f>IF(A175="","",SUMIF('Daftar Transaksi'!D:D,A175,'Daftar Transaksi'!F:F))</f>
        <v/>
      </c>
      <c r="F175" s="54" t="str">
        <f t="shared" si="6"/>
        <v/>
      </c>
      <c r="G175" s="54" t="str">
        <f t="shared" si="7"/>
        <v/>
      </c>
      <c r="H175" s="54" t="str">
        <f t="shared" si="8"/>
        <v/>
      </c>
    </row>
    <row r="176" spans="5:8" x14ac:dyDescent="0.25">
      <c r="E176" s="54" t="str">
        <f>IF(A176="","",SUMIF('Daftar Transaksi'!D:D,A176,'Daftar Transaksi'!F:F))</f>
        <v/>
      </c>
      <c r="F176" s="54" t="str">
        <f t="shared" si="6"/>
        <v/>
      </c>
      <c r="G176" s="54" t="str">
        <f t="shared" si="7"/>
        <v/>
      </c>
      <c r="H176" s="54" t="str">
        <f t="shared" si="8"/>
        <v/>
      </c>
    </row>
    <row r="177" spans="5:8" x14ac:dyDescent="0.25">
      <c r="E177" s="54" t="str">
        <f>IF(A177="","",SUMIF('Daftar Transaksi'!D:D,A177,'Daftar Transaksi'!F:F))</f>
        <v/>
      </c>
      <c r="F177" s="54" t="str">
        <f t="shared" si="6"/>
        <v/>
      </c>
      <c r="G177" s="54" t="str">
        <f t="shared" si="7"/>
        <v/>
      </c>
      <c r="H177" s="54" t="str">
        <f t="shared" si="8"/>
        <v/>
      </c>
    </row>
    <row r="178" spans="5:8" x14ac:dyDescent="0.25">
      <c r="E178" s="54" t="str">
        <f>IF(A178="","",SUMIF('Daftar Transaksi'!D:D,A178,'Daftar Transaksi'!F:F))</f>
        <v/>
      </c>
      <c r="F178" s="54" t="str">
        <f t="shared" si="6"/>
        <v/>
      </c>
      <c r="G178" s="54" t="str">
        <f t="shared" si="7"/>
        <v/>
      </c>
      <c r="H178" s="54" t="str">
        <f t="shared" si="8"/>
        <v/>
      </c>
    </row>
    <row r="179" spans="5:8" x14ac:dyDescent="0.25">
      <c r="E179" s="54" t="str">
        <f>IF(A179="","",SUMIF('Daftar Transaksi'!D:D,A179,'Daftar Transaksi'!F:F))</f>
        <v/>
      </c>
      <c r="F179" s="54" t="str">
        <f t="shared" si="6"/>
        <v/>
      </c>
      <c r="G179" s="54" t="str">
        <f t="shared" si="7"/>
        <v/>
      </c>
      <c r="H179" s="54" t="str">
        <f t="shared" si="8"/>
        <v/>
      </c>
    </row>
    <row r="180" spans="5:8" x14ac:dyDescent="0.25">
      <c r="E180" s="54" t="str">
        <f>IF(A180="","",SUMIF('Daftar Transaksi'!D:D,A180,'Daftar Transaksi'!F:F))</f>
        <v/>
      </c>
      <c r="F180" s="54" t="str">
        <f t="shared" si="6"/>
        <v/>
      </c>
      <c r="G180" s="54" t="str">
        <f t="shared" si="7"/>
        <v/>
      </c>
      <c r="H180" s="54" t="str">
        <f t="shared" si="8"/>
        <v/>
      </c>
    </row>
    <row r="181" spans="5:8" x14ac:dyDescent="0.25">
      <c r="E181" s="54" t="str">
        <f>IF(A181="","",SUMIF('Daftar Transaksi'!D:D,A181,'Daftar Transaksi'!F:F))</f>
        <v/>
      </c>
      <c r="F181" s="54" t="str">
        <f t="shared" si="6"/>
        <v/>
      </c>
      <c r="G181" s="54" t="str">
        <f t="shared" si="7"/>
        <v/>
      </c>
      <c r="H181" s="54" t="str">
        <f t="shared" si="8"/>
        <v/>
      </c>
    </row>
    <row r="182" spans="5:8" x14ac:dyDescent="0.25">
      <c r="E182" s="54" t="str">
        <f>IF(A182="","",SUMIF('Daftar Transaksi'!D:D,A182,'Daftar Transaksi'!F:F))</f>
        <v/>
      </c>
      <c r="F182" s="54" t="str">
        <f t="shared" si="6"/>
        <v/>
      </c>
      <c r="G182" s="54" t="str">
        <f t="shared" si="7"/>
        <v/>
      </c>
      <c r="H182" s="54" t="str">
        <f t="shared" si="8"/>
        <v/>
      </c>
    </row>
    <row r="183" spans="5:8" x14ac:dyDescent="0.25">
      <c r="E183" s="54" t="str">
        <f>IF(A183="","",SUMIF('Daftar Transaksi'!D:D,A183,'Daftar Transaksi'!F:F))</f>
        <v/>
      </c>
      <c r="F183" s="54" t="str">
        <f t="shared" si="6"/>
        <v/>
      </c>
      <c r="G183" s="54" t="str">
        <f t="shared" si="7"/>
        <v/>
      </c>
      <c r="H183" s="54" t="str">
        <f t="shared" si="8"/>
        <v/>
      </c>
    </row>
    <row r="184" spans="5:8" x14ac:dyDescent="0.25">
      <c r="E184" s="54" t="str">
        <f>IF(A184="","",SUMIF('Daftar Transaksi'!D:D,A184,'Daftar Transaksi'!F:F))</f>
        <v/>
      </c>
      <c r="F184" s="54" t="str">
        <f t="shared" si="6"/>
        <v/>
      </c>
      <c r="G184" s="54" t="str">
        <f t="shared" si="7"/>
        <v/>
      </c>
      <c r="H184" s="54" t="str">
        <f t="shared" si="8"/>
        <v/>
      </c>
    </row>
    <row r="185" spans="5:8" x14ac:dyDescent="0.25">
      <c r="E185" s="54" t="str">
        <f>IF(A185="","",SUMIF('Daftar Transaksi'!D:D,A185,'Daftar Transaksi'!F:F))</f>
        <v/>
      </c>
      <c r="F185" s="54" t="str">
        <f t="shared" si="6"/>
        <v/>
      </c>
      <c r="G185" s="54" t="str">
        <f t="shared" si="7"/>
        <v/>
      </c>
      <c r="H185" s="54" t="str">
        <f t="shared" si="8"/>
        <v/>
      </c>
    </row>
    <row r="186" spans="5:8" x14ac:dyDescent="0.25">
      <c r="E186" s="54" t="str">
        <f>IF(A186="","",SUMIF('Daftar Transaksi'!D:D,A186,'Daftar Transaksi'!F:F))</f>
        <v/>
      </c>
      <c r="F186" s="54" t="str">
        <f t="shared" si="6"/>
        <v/>
      </c>
      <c r="G186" s="54" t="str">
        <f t="shared" si="7"/>
        <v/>
      </c>
      <c r="H186" s="54" t="str">
        <f t="shared" si="8"/>
        <v/>
      </c>
    </row>
    <row r="187" spans="5:8" x14ac:dyDescent="0.25">
      <c r="E187" s="54" t="str">
        <f>IF(A187="","",SUMIF('Daftar Transaksi'!D:D,A187,'Daftar Transaksi'!F:F))</f>
        <v/>
      </c>
      <c r="F187" s="54" t="str">
        <f t="shared" si="6"/>
        <v/>
      </c>
      <c r="G187" s="54" t="str">
        <f t="shared" si="7"/>
        <v/>
      </c>
      <c r="H187" s="54" t="str">
        <f t="shared" si="8"/>
        <v/>
      </c>
    </row>
    <row r="188" spans="5:8" x14ac:dyDescent="0.25">
      <c r="E188" s="54" t="str">
        <f>IF(A188="","",SUMIF('Daftar Transaksi'!D:D,A188,'Daftar Transaksi'!F:F))</f>
        <v/>
      </c>
      <c r="F188" s="54" t="str">
        <f t="shared" si="6"/>
        <v/>
      </c>
      <c r="G188" s="54" t="str">
        <f t="shared" si="7"/>
        <v/>
      </c>
      <c r="H188" s="54" t="str">
        <f t="shared" si="8"/>
        <v/>
      </c>
    </row>
    <row r="189" spans="5:8" x14ac:dyDescent="0.25">
      <c r="E189" s="54" t="str">
        <f>IF(A189="","",SUMIF('Daftar Transaksi'!D:D,A189,'Daftar Transaksi'!F:F))</f>
        <v/>
      </c>
      <c r="F189" s="54" t="str">
        <f t="shared" si="6"/>
        <v/>
      </c>
      <c r="G189" s="54" t="str">
        <f t="shared" si="7"/>
        <v/>
      </c>
      <c r="H189" s="54" t="str">
        <f t="shared" si="8"/>
        <v/>
      </c>
    </row>
    <row r="190" spans="5:8" x14ac:dyDescent="0.25">
      <c r="E190" s="54" t="str">
        <f>IF(A190="","",SUMIF('Daftar Transaksi'!D:D,A190,'Daftar Transaksi'!F:F))</f>
        <v/>
      </c>
      <c r="F190" s="54" t="str">
        <f t="shared" si="6"/>
        <v/>
      </c>
      <c r="G190" s="54" t="str">
        <f t="shared" si="7"/>
        <v/>
      </c>
      <c r="H190" s="54" t="str">
        <f t="shared" si="8"/>
        <v/>
      </c>
    </row>
    <row r="191" spans="5:8" x14ac:dyDescent="0.25">
      <c r="E191" s="54" t="str">
        <f>IF(A191="","",SUMIF('Daftar Transaksi'!D:D,A191,'Daftar Transaksi'!F:F))</f>
        <v/>
      </c>
      <c r="F191" s="54" t="str">
        <f t="shared" ref="F191:F254" si="9">IF(A191="","",D191-E191)</f>
        <v/>
      </c>
      <c r="G191" s="54" t="str">
        <f t="shared" ref="G191:G254" si="10">IF(A191="","",C191*E191)</f>
        <v/>
      </c>
      <c r="H191" s="54" t="str">
        <f t="shared" ref="H191:H254" si="11">IF(A191="","",G191-(B191*E191))</f>
        <v/>
      </c>
    </row>
    <row r="192" spans="5:8" x14ac:dyDescent="0.25">
      <c r="E192" s="54" t="str">
        <f>IF(A192="","",SUMIF('Daftar Transaksi'!D:D,A192,'Daftar Transaksi'!F:F))</f>
        <v/>
      </c>
      <c r="F192" s="54" t="str">
        <f t="shared" si="9"/>
        <v/>
      </c>
      <c r="G192" s="54" t="str">
        <f t="shared" si="10"/>
        <v/>
      </c>
      <c r="H192" s="54" t="str">
        <f t="shared" si="11"/>
        <v/>
      </c>
    </row>
    <row r="193" spans="5:8" x14ac:dyDescent="0.25">
      <c r="E193" s="54" t="str">
        <f>IF(A193="","",SUMIF('Daftar Transaksi'!D:D,A193,'Daftar Transaksi'!F:F))</f>
        <v/>
      </c>
      <c r="F193" s="54" t="str">
        <f t="shared" si="9"/>
        <v/>
      </c>
      <c r="G193" s="54" t="str">
        <f t="shared" si="10"/>
        <v/>
      </c>
      <c r="H193" s="54" t="str">
        <f t="shared" si="11"/>
        <v/>
      </c>
    </row>
    <row r="194" spans="5:8" x14ac:dyDescent="0.25">
      <c r="E194" s="54" t="str">
        <f>IF(A194="","",SUMIF('Daftar Transaksi'!D:D,A194,'Daftar Transaksi'!F:F))</f>
        <v/>
      </c>
      <c r="F194" s="54" t="str">
        <f t="shared" si="9"/>
        <v/>
      </c>
      <c r="G194" s="54" t="str">
        <f t="shared" si="10"/>
        <v/>
      </c>
      <c r="H194" s="54" t="str">
        <f t="shared" si="11"/>
        <v/>
      </c>
    </row>
    <row r="195" spans="5:8" x14ac:dyDescent="0.25">
      <c r="E195" s="54" t="str">
        <f>IF(A195="","",SUMIF('Daftar Transaksi'!D:D,A195,'Daftar Transaksi'!F:F))</f>
        <v/>
      </c>
      <c r="F195" s="54" t="str">
        <f t="shared" si="9"/>
        <v/>
      </c>
      <c r="G195" s="54" t="str">
        <f t="shared" si="10"/>
        <v/>
      </c>
      <c r="H195" s="54" t="str">
        <f t="shared" si="11"/>
        <v/>
      </c>
    </row>
    <row r="196" spans="5:8" x14ac:dyDescent="0.25">
      <c r="E196" s="54" t="str">
        <f>IF(A196="","",SUMIF('Daftar Transaksi'!D:D,A196,'Daftar Transaksi'!F:F))</f>
        <v/>
      </c>
      <c r="F196" s="54" t="str">
        <f t="shared" si="9"/>
        <v/>
      </c>
      <c r="G196" s="54" t="str">
        <f t="shared" si="10"/>
        <v/>
      </c>
      <c r="H196" s="54" t="str">
        <f t="shared" si="11"/>
        <v/>
      </c>
    </row>
    <row r="197" spans="5:8" x14ac:dyDescent="0.25">
      <c r="E197" s="54" t="str">
        <f>IF(A197="","",SUMIF('Daftar Transaksi'!D:D,A197,'Daftar Transaksi'!F:F))</f>
        <v/>
      </c>
      <c r="F197" s="54" t="str">
        <f t="shared" si="9"/>
        <v/>
      </c>
      <c r="G197" s="54" t="str">
        <f t="shared" si="10"/>
        <v/>
      </c>
      <c r="H197" s="54" t="str">
        <f t="shared" si="11"/>
        <v/>
      </c>
    </row>
    <row r="198" spans="5:8" x14ac:dyDescent="0.25">
      <c r="E198" s="54" t="str">
        <f>IF(A198="","",SUMIF('Daftar Transaksi'!D:D,A198,'Daftar Transaksi'!F:F))</f>
        <v/>
      </c>
      <c r="F198" s="54" t="str">
        <f t="shared" si="9"/>
        <v/>
      </c>
      <c r="G198" s="54" t="str">
        <f t="shared" si="10"/>
        <v/>
      </c>
      <c r="H198" s="54" t="str">
        <f t="shared" si="11"/>
        <v/>
      </c>
    </row>
    <row r="199" spans="5:8" x14ac:dyDescent="0.25">
      <c r="E199" s="54" t="str">
        <f>IF(A199="","",SUMIF('Daftar Transaksi'!D:D,A199,'Daftar Transaksi'!F:F))</f>
        <v/>
      </c>
      <c r="F199" s="54" t="str">
        <f t="shared" si="9"/>
        <v/>
      </c>
      <c r="G199" s="54" t="str">
        <f t="shared" si="10"/>
        <v/>
      </c>
      <c r="H199" s="54" t="str">
        <f t="shared" si="11"/>
        <v/>
      </c>
    </row>
    <row r="200" spans="5:8" x14ac:dyDescent="0.25">
      <c r="E200" s="54" t="str">
        <f>IF(A200="","",SUMIF('Daftar Transaksi'!D:D,A200,'Daftar Transaksi'!F:F))</f>
        <v/>
      </c>
      <c r="F200" s="54" t="str">
        <f t="shared" si="9"/>
        <v/>
      </c>
      <c r="G200" s="54" t="str">
        <f t="shared" si="10"/>
        <v/>
      </c>
      <c r="H200" s="54" t="str">
        <f t="shared" si="11"/>
        <v/>
      </c>
    </row>
    <row r="201" spans="5:8" x14ac:dyDescent="0.25">
      <c r="E201" s="54" t="str">
        <f>IF(A201="","",SUMIF('Daftar Transaksi'!D:D,A201,'Daftar Transaksi'!F:F))</f>
        <v/>
      </c>
      <c r="F201" s="54" t="str">
        <f t="shared" si="9"/>
        <v/>
      </c>
      <c r="G201" s="54" t="str">
        <f t="shared" si="10"/>
        <v/>
      </c>
      <c r="H201" s="54" t="str">
        <f t="shared" si="11"/>
        <v/>
      </c>
    </row>
    <row r="202" spans="5:8" x14ac:dyDescent="0.25">
      <c r="E202" s="54" t="str">
        <f>IF(A202="","",SUMIF('Daftar Transaksi'!D:D,A202,'Daftar Transaksi'!F:F))</f>
        <v/>
      </c>
      <c r="F202" s="54" t="str">
        <f t="shared" si="9"/>
        <v/>
      </c>
      <c r="G202" s="54" t="str">
        <f t="shared" si="10"/>
        <v/>
      </c>
      <c r="H202" s="54" t="str">
        <f t="shared" si="11"/>
        <v/>
      </c>
    </row>
    <row r="203" spans="5:8" x14ac:dyDescent="0.25">
      <c r="E203" s="54" t="str">
        <f>IF(A203="","",SUMIF('Daftar Transaksi'!D:D,A203,'Daftar Transaksi'!F:F))</f>
        <v/>
      </c>
      <c r="F203" s="54" t="str">
        <f t="shared" si="9"/>
        <v/>
      </c>
      <c r="G203" s="54" t="str">
        <f t="shared" si="10"/>
        <v/>
      </c>
      <c r="H203" s="54" t="str">
        <f t="shared" si="11"/>
        <v/>
      </c>
    </row>
    <row r="204" spans="5:8" x14ac:dyDescent="0.25">
      <c r="E204" s="54" t="str">
        <f>IF(A204="","",SUMIF('Daftar Transaksi'!D:D,A204,'Daftar Transaksi'!F:F))</f>
        <v/>
      </c>
      <c r="F204" s="54" t="str">
        <f t="shared" si="9"/>
        <v/>
      </c>
      <c r="G204" s="54" t="str">
        <f t="shared" si="10"/>
        <v/>
      </c>
      <c r="H204" s="54" t="str">
        <f t="shared" si="11"/>
        <v/>
      </c>
    </row>
    <row r="205" spans="5:8" x14ac:dyDescent="0.25">
      <c r="E205" s="54" t="str">
        <f>IF(A205="","",SUMIF('Daftar Transaksi'!D:D,A205,'Daftar Transaksi'!F:F))</f>
        <v/>
      </c>
      <c r="F205" s="54" t="str">
        <f t="shared" si="9"/>
        <v/>
      </c>
      <c r="G205" s="54" t="str">
        <f t="shared" si="10"/>
        <v/>
      </c>
      <c r="H205" s="54" t="str">
        <f t="shared" si="11"/>
        <v/>
      </c>
    </row>
    <row r="206" spans="5:8" x14ac:dyDescent="0.25">
      <c r="E206" s="54" t="str">
        <f>IF(A206="","",SUMIF('Daftar Transaksi'!D:D,A206,'Daftar Transaksi'!F:F))</f>
        <v/>
      </c>
      <c r="F206" s="54" t="str">
        <f t="shared" si="9"/>
        <v/>
      </c>
      <c r="G206" s="54" t="str">
        <f t="shared" si="10"/>
        <v/>
      </c>
      <c r="H206" s="54" t="str">
        <f t="shared" si="11"/>
        <v/>
      </c>
    </row>
    <row r="207" spans="5:8" x14ac:dyDescent="0.25">
      <c r="E207" s="54" t="str">
        <f>IF(A207="","",SUMIF('Daftar Transaksi'!D:D,A207,'Daftar Transaksi'!F:F))</f>
        <v/>
      </c>
      <c r="F207" s="54" t="str">
        <f t="shared" si="9"/>
        <v/>
      </c>
      <c r="G207" s="54" t="str">
        <f t="shared" si="10"/>
        <v/>
      </c>
      <c r="H207" s="54" t="str">
        <f t="shared" si="11"/>
        <v/>
      </c>
    </row>
    <row r="208" spans="5:8" x14ac:dyDescent="0.25">
      <c r="E208" s="54" t="str">
        <f>IF(A208="","",SUMIF('Daftar Transaksi'!D:D,A208,'Daftar Transaksi'!F:F))</f>
        <v/>
      </c>
      <c r="F208" s="54" t="str">
        <f t="shared" si="9"/>
        <v/>
      </c>
      <c r="G208" s="54" t="str">
        <f t="shared" si="10"/>
        <v/>
      </c>
      <c r="H208" s="54" t="str">
        <f t="shared" si="11"/>
        <v/>
      </c>
    </row>
    <row r="209" spans="5:8" x14ac:dyDescent="0.25">
      <c r="E209" s="54" t="str">
        <f>IF(A209="","",SUMIF('Daftar Transaksi'!D:D,A209,'Daftar Transaksi'!F:F))</f>
        <v/>
      </c>
      <c r="F209" s="54" t="str">
        <f t="shared" si="9"/>
        <v/>
      </c>
      <c r="G209" s="54" t="str">
        <f t="shared" si="10"/>
        <v/>
      </c>
      <c r="H209" s="54" t="str">
        <f t="shared" si="11"/>
        <v/>
      </c>
    </row>
    <row r="210" spans="5:8" x14ac:dyDescent="0.25">
      <c r="E210" s="54" t="str">
        <f>IF(A210="","",SUMIF('Daftar Transaksi'!D:D,A210,'Daftar Transaksi'!F:F))</f>
        <v/>
      </c>
      <c r="F210" s="54" t="str">
        <f t="shared" si="9"/>
        <v/>
      </c>
      <c r="G210" s="54" t="str">
        <f t="shared" si="10"/>
        <v/>
      </c>
      <c r="H210" s="54" t="str">
        <f t="shared" si="11"/>
        <v/>
      </c>
    </row>
    <row r="211" spans="5:8" x14ac:dyDescent="0.25">
      <c r="E211" s="54" t="str">
        <f>IF(A211="","",SUMIF('Daftar Transaksi'!D:D,A211,'Daftar Transaksi'!F:F))</f>
        <v/>
      </c>
      <c r="F211" s="54" t="str">
        <f t="shared" si="9"/>
        <v/>
      </c>
      <c r="G211" s="54" t="str">
        <f t="shared" si="10"/>
        <v/>
      </c>
      <c r="H211" s="54" t="str">
        <f t="shared" si="11"/>
        <v/>
      </c>
    </row>
    <row r="212" spans="5:8" x14ac:dyDescent="0.25">
      <c r="E212" s="54" t="str">
        <f>IF(A212="","",SUMIF('Daftar Transaksi'!D:D,A212,'Daftar Transaksi'!F:F))</f>
        <v/>
      </c>
      <c r="F212" s="54" t="str">
        <f t="shared" si="9"/>
        <v/>
      </c>
      <c r="G212" s="54" t="str">
        <f t="shared" si="10"/>
        <v/>
      </c>
      <c r="H212" s="54" t="str">
        <f t="shared" si="11"/>
        <v/>
      </c>
    </row>
    <row r="213" spans="5:8" x14ac:dyDescent="0.25">
      <c r="E213" s="54" t="str">
        <f>IF(A213="","",SUMIF('Daftar Transaksi'!D:D,A213,'Daftar Transaksi'!F:F))</f>
        <v/>
      </c>
      <c r="F213" s="54" t="str">
        <f t="shared" si="9"/>
        <v/>
      </c>
      <c r="G213" s="54" t="str">
        <f t="shared" si="10"/>
        <v/>
      </c>
      <c r="H213" s="54" t="str">
        <f t="shared" si="11"/>
        <v/>
      </c>
    </row>
    <row r="214" spans="5:8" x14ac:dyDescent="0.25">
      <c r="E214" s="54" t="str">
        <f>IF(A214="","",SUMIF('Daftar Transaksi'!D:D,A214,'Daftar Transaksi'!F:F))</f>
        <v/>
      </c>
      <c r="F214" s="54" t="str">
        <f t="shared" si="9"/>
        <v/>
      </c>
      <c r="G214" s="54" t="str">
        <f t="shared" si="10"/>
        <v/>
      </c>
      <c r="H214" s="54" t="str">
        <f t="shared" si="11"/>
        <v/>
      </c>
    </row>
    <row r="215" spans="5:8" x14ac:dyDescent="0.25">
      <c r="E215" s="54" t="str">
        <f>IF(A215="","",SUMIF('Daftar Transaksi'!D:D,A215,'Daftar Transaksi'!F:F))</f>
        <v/>
      </c>
      <c r="F215" s="54" t="str">
        <f t="shared" si="9"/>
        <v/>
      </c>
      <c r="G215" s="54" t="str">
        <f t="shared" si="10"/>
        <v/>
      </c>
      <c r="H215" s="54" t="str">
        <f t="shared" si="11"/>
        <v/>
      </c>
    </row>
    <row r="216" spans="5:8" x14ac:dyDescent="0.25">
      <c r="E216" s="54" t="str">
        <f>IF(A216="","",SUMIF('Daftar Transaksi'!D:D,A216,'Daftar Transaksi'!F:F))</f>
        <v/>
      </c>
      <c r="F216" s="54" t="str">
        <f t="shared" si="9"/>
        <v/>
      </c>
      <c r="G216" s="54" t="str">
        <f t="shared" si="10"/>
        <v/>
      </c>
      <c r="H216" s="54" t="str">
        <f t="shared" si="11"/>
        <v/>
      </c>
    </row>
    <row r="217" spans="5:8" x14ac:dyDescent="0.25">
      <c r="E217" s="54" t="str">
        <f>IF(A217="","",SUMIF('Daftar Transaksi'!D:D,A217,'Daftar Transaksi'!F:F))</f>
        <v/>
      </c>
      <c r="F217" s="54" t="str">
        <f t="shared" si="9"/>
        <v/>
      </c>
      <c r="G217" s="54" t="str">
        <f t="shared" si="10"/>
        <v/>
      </c>
      <c r="H217" s="54" t="str">
        <f t="shared" si="11"/>
        <v/>
      </c>
    </row>
    <row r="218" spans="5:8" x14ac:dyDescent="0.25">
      <c r="E218" s="54" t="str">
        <f>IF(A218="","",SUMIF('Daftar Transaksi'!D:D,A218,'Daftar Transaksi'!F:F))</f>
        <v/>
      </c>
      <c r="F218" s="54" t="str">
        <f t="shared" si="9"/>
        <v/>
      </c>
      <c r="G218" s="54" t="str">
        <f t="shared" si="10"/>
        <v/>
      </c>
      <c r="H218" s="54" t="str">
        <f t="shared" si="11"/>
        <v/>
      </c>
    </row>
    <row r="219" spans="5:8" x14ac:dyDescent="0.25">
      <c r="E219" s="54" t="str">
        <f>IF(A219="","",SUMIF('Daftar Transaksi'!D:D,A219,'Daftar Transaksi'!F:F))</f>
        <v/>
      </c>
      <c r="F219" s="54" t="str">
        <f t="shared" si="9"/>
        <v/>
      </c>
      <c r="G219" s="54" t="str">
        <f t="shared" si="10"/>
        <v/>
      </c>
      <c r="H219" s="54" t="str">
        <f t="shared" si="11"/>
        <v/>
      </c>
    </row>
    <row r="220" spans="5:8" x14ac:dyDescent="0.25">
      <c r="E220" s="54" t="str">
        <f>IF(A220="","",SUMIF('Daftar Transaksi'!D:D,A220,'Daftar Transaksi'!F:F))</f>
        <v/>
      </c>
      <c r="F220" s="54" t="str">
        <f t="shared" si="9"/>
        <v/>
      </c>
      <c r="G220" s="54" t="str">
        <f t="shared" si="10"/>
        <v/>
      </c>
      <c r="H220" s="54" t="str">
        <f t="shared" si="11"/>
        <v/>
      </c>
    </row>
    <row r="221" spans="5:8" x14ac:dyDescent="0.25">
      <c r="E221" s="54" t="str">
        <f>IF(A221="","",SUMIF('Daftar Transaksi'!D:D,A221,'Daftar Transaksi'!F:F))</f>
        <v/>
      </c>
      <c r="F221" s="54" t="str">
        <f t="shared" si="9"/>
        <v/>
      </c>
      <c r="G221" s="54" t="str">
        <f t="shared" si="10"/>
        <v/>
      </c>
      <c r="H221" s="54" t="str">
        <f t="shared" si="11"/>
        <v/>
      </c>
    </row>
    <row r="222" spans="5:8" x14ac:dyDescent="0.25">
      <c r="E222" s="54" t="str">
        <f>IF(A222="","",SUMIF('Daftar Transaksi'!D:D,A222,'Daftar Transaksi'!F:F))</f>
        <v/>
      </c>
      <c r="F222" s="54" t="str">
        <f t="shared" si="9"/>
        <v/>
      </c>
      <c r="G222" s="54" t="str">
        <f t="shared" si="10"/>
        <v/>
      </c>
      <c r="H222" s="54" t="str">
        <f t="shared" si="11"/>
        <v/>
      </c>
    </row>
    <row r="223" spans="5:8" x14ac:dyDescent="0.25">
      <c r="E223" s="54" t="str">
        <f>IF(A223="","",SUMIF('Daftar Transaksi'!D:D,A223,'Daftar Transaksi'!F:F))</f>
        <v/>
      </c>
      <c r="F223" s="54" t="str">
        <f t="shared" si="9"/>
        <v/>
      </c>
      <c r="G223" s="54" t="str">
        <f t="shared" si="10"/>
        <v/>
      </c>
      <c r="H223" s="54" t="str">
        <f t="shared" si="11"/>
        <v/>
      </c>
    </row>
    <row r="224" spans="5:8" x14ac:dyDescent="0.25">
      <c r="E224" s="54" t="str">
        <f>IF(A224="","",SUMIF('Daftar Transaksi'!D:D,A224,'Daftar Transaksi'!F:F))</f>
        <v/>
      </c>
      <c r="F224" s="54" t="str">
        <f t="shared" si="9"/>
        <v/>
      </c>
      <c r="G224" s="54" t="str">
        <f t="shared" si="10"/>
        <v/>
      </c>
      <c r="H224" s="54" t="str">
        <f t="shared" si="11"/>
        <v/>
      </c>
    </row>
    <row r="225" spans="5:8" x14ac:dyDescent="0.25">
      <c r="E225" s="54" t="str">
        <f>IF(A225="","",SUMIF('Daftar Transaksi'!D:D,A225,'Daftar Transaksi'!F:F))</f>
        <v/>
      </c>
      <c r="F225" s="54" t="str">
        <f t="shared" si="9"/>
        <v/>
      </c>
      <c r="G225" s="54" t="str">
        <f t="shared" si="10"/>
        <v/>
      </c>
      <c r="H225" s="54" t="str">
        <f t="shared" si="11"/>
        <v/>
      </c>
    </row>
    <row r="226" spans="5:8" x14ac:dyDescent="0.25">
      <c r="E226" s="54" t="str">
        <f>IF(A226="","",SUMIF('Daftar Transaksi'!D:D,A226,'Daftar Transaksi'!F:F))</f>
        <v/>
      </c>
      <c r="F226" s="54" t="str">
        <f t="shared" si="9"/>
        <v/>
      </c>
      <c r="G226" s="54" t="str">
        <f t="shared" si="10"/>
        <v/>
      </c>
      <c r="H226" s="54" t="str">
        <f t="shared" si="11"/>
        <v/>
      </c>
    </row>
    <row r="227" spans="5:8" x14ac:dyDescent="0.25">
      <c r="E227" s="54" t="str">
        <f>IF(A227="","",SUMIF('Daftar Transaksi'!D:D,A227,'Daftar Transaksi'!F:F))</f>
        <v/>
      </c>
      <c r="F227" s="54" t="str">
        <f t="shared" si="9"/>
        <v/>
      </c>
      <c r="G227" s="54" t="str">
        <f t="shared" si="10"/>
        <v/>
      </c>
      <c r="H227" s="54" t="str">
        <f t="shared" si="11"/>
        <v/>
      </c>
    </row>
    <row r="228" spans="5:8" x14ac:dyDescent="0.25">
      <c r="E228" s="54" t="str">
        <f>IF(A228="","",SUMIF('Daftar Transaksi'!D:D,A228,'Daftar Transaksi'!F:F))</f>
        <v/>
      </c>
      <c r="F228" s="54" t="str">
        <f t="shared" si="9"/>
        <v/>
      </c>
      <c r="G228" s="54" t="str">
        <f t="shared" si="10"/>
        <v/>
      </c>
      <c r="H228" s="54" t="str">
        <f t="shared" si="11"/>
        <v/>
      </c>
    </row>
    <row r="229" spans="5:8" x14ac:dyDescent="0.25">
      <c r="E229" s="54" t="str">
        <f>IF(A229="","",SUMIF('Daftar Transaksi'!D:D,A229,'Daftar Transaksi'!F:F))</f>
        <v/>
      </c>
      <c r="F229" s="54" t="str">
        <f t="shared" si="9"/>
        <v/>
      </c>
      <c r="G229" s="54" t="str">
        <f t="shared" si="10"/>
        <v/>
      </c>
      <c r="H229" s="54" t="str">
        <f t="shared" si="11"/>
        <v/>
      </c>
    </row>
    <row r="230" spans="5:8" x14ac:dyDescent="0.25">
      <c r="E230" s="54" t="str">
        <f>IF(A230="","",SUMIF('Daftar Transaksi'!D:D,A230,'Daftar Transaksi'!F:F))</f>
        <v/>
      </c>
      <c r="F230" s="54" t="str">
        <f t="shared" si="9"/>
        <v/>
      </c>
      <c r="G230" s="54" t="str">
        <f t="shared" si="10"/>
        <v/>
      </c>
      <c r="H230" s="54" t="str">
        <f t="shared" si="11"/>
        <v/>
      </c>
    </row>
    <row r="231" spans="5:8" x14ac:dyDescent="0.25">
      <c r="E231" s="54" t="str">
        <f>IF(A231="","",SUMIF('Daftar Transaksi'!D:D,A231,'Daftar Transaksi'!F:F))</f>
        <v/>
      </c>
      <c r="F231" s="54" t="str">
        <f t="shared" si="9"/>
        <v/>
      </c>
      <c r="G231" s="54" t="str">
        <f t="shared" si="10"/>
        <v/>
      </c>
      <c r="H231" s="54" t="str">
        <f t="shared" si="11"/>
        <v/>
      </c>
    </row>
    <row r="232" spans="5:8" x14ac:dyDescent="0.25">
      <c r="E232" s="54" t="str">
        <f>IF(A232="","",SUMIF('Daftar Transaksi'!D:D,A232,'Daftar Transaksi'!F:F))</f>
        <v/>
      </c>
      <c r="F232" s="54" t="str">
        <f t="shared" si="9"/>
        <v/>
      </c>
      <c r="G232" s="54" t="str">
        <f t="shared" si="10"/>
        <v/>
      </c>
      <c r="H232" s="54" t="str">
        <f t="shared" si="11"/>
        <v/>
      </c>
    </row>
    <row r="233" spans="5:8" x14ac:dyDescent="0.25">
      <c r="E233" s="54" t="str">
        <f>IF(A233="","",SUMIF('Daftar Transaksi'!D:D,A233,'Daftar Transaksi'!F:F))</f>
        <v/>
      </c>
      <c r="F233" s="54" t="str">
        <f t="shared" si="9"/>
        <v/>
      </c>
      <c r="G233" s="54" t="str">
        <f t="shared" si="10"/>
        <v/>
      </c>
      <c r="H233" s="54" t="str">
        <f t="shared" si="11"/>
        <v/>
      </c>
    </row>
    <row r="234" spans="5:8" x14ac:dyDescent="0.25">
      <c r="E234" s="54" t="str">
        <f>IF(A234="","",SUMIF('Daftar Transaksi'!D:D,A234,'Daftar Transaksi'!F:F))</f>
        <v/>
      </c>
      <c r="F234" s="54" t="str">
        <f t="shared" si="9"/>
        <v/>
      </c>
      <c r="G234" s="54" t="str">
        <f t="shared" si="10"/>
        <v/>
      </c>
      <c r="H234" s="54" t="str">
        <f t="shared" si="11"/>
        <v/>
      </c>
    </row>
    <row r="235" spans="5:8" x14ac:dyDescent="0.25">
      <c r="E235" s="54" t="str">
        <f>IF(A235="","",SUMIF('Daftar Transaksi'!D:D,A235,'Daftar Transaksi'!F:F))</f>
        <v/>
      </c>
      <c r="F235" s="54" t="str">
        <f t="shared" si="9"/>
        <v/>
      </c>
      <c r="G235" s="54" t="str">
        <f t="shared" si="10"/>
        <v/>
      </c>
      <c r="H235" s="54" t="str">
        <f t="shared" si="11"/>
        <v/>
      </c>
    </row>
    <row r="236" spans="5:8" x14ac:dyDescent="0.25">
      <c r="E236" s="54" t="str">
        <f>IF(A236="","",SUMIF('Daftar Transaksi'!D:D,A236,'Daftar Transaksi'!F:F))</f>
        <v/>
      </c>
      <c r="F236" s="54" t="str">
        <f t="shared" si="9"/>
        <v/>
      </c>
      <c r="G236" s="54" t="str">
        <f t="shared" si="10"/>
        <v/>
      </c>
      <c r="H236" s="54" t="str">
        <f t="shared" si="11"/>
        <v/>
      </c>
    </row>
    <row r="237" spans="5:8" x14ac:dyDescent="0.25">
      <c r="E237" s="54" t="str">
        <f>IF(A237="","",SUMIF('Daftar Transaksi'!D:D,A237,'Daftar Transaksi'!F:F))</f>
        <v/>
      </c>
      <c r="F237" s="54" t="str">
        <f t="shared" si="9"/>
        <v/>
      </c>
      <c r="G237" s="54" t="str">
        <f t="shared" si="10"/>
        <v/>
      </c>
      <c r="H237" s="54" t="str">
        <f t="shared" si="11"/>
        <v/>
      </c>
    </row>
    <row r="238" spans="5:8" x14ac:dyDescent="0.25">
      <c r="E238" s="54" t="str">
        <f>IF(A238="","",SUMIF('Daftar Transaksi'!D:D,A238,'Daftar Transaksi'!F:F))</f>
        <v/>
      </c>
      <c r="F238" s="54" t="str">
        <f t="shared" si="9"/>
        <v/>
      </c>
      <c r="G238" s="54" t="str">
        <f t="shared" si="10"/>
        <v/>
      </c>
      <c r="H238" s="54" t="str">
        <f t="shared" si="11"/>
        <v/>
      </c>
    </row>
    <row r="239" spans="5:8" x14ac:dyDescent="0.25">
      <c r="E239" s="54" t="str">
        <f>IF(A239="","",SUMIF('Daftar Transaksi'!D:D,A239,'Daftar Transaksi'!F:F))</f>
        <v/>
      </c>
      <c r="F239" s="54" t="str">
        <f t="shared" si="9"/>
        <v/>
      </c>
      <c r="G239" s="54" t="str">
        <f t="shared" si="10"/>
        <v/>
      </c>
      <c r="H239" s="54" t="str">
        <f t="shared" si="11"/>
        <v/>
      </c>
    </row>
    <row r="240" spans="5:8" x14ac:dyDescent="0.25">
      <c r="E240" s="54" t="str">
        <f>IF(A240="","",SUMIF('Daftar Transaksi'!D:D,A240,'Daftar Transaksi'!F:F))</f>
        <v/>
      </c>
      <c r="F240" s="54" t="str">
        <f t="shared" si="9"/>
        <v/>
      </c>
      <c r="G240" s="54" t="str">
        <f t="shared" si="10"/>
        <v/>
      </c>
      <c r="H240" s="54" t="str">
        <f t="shared" si="11"/>
        <v/>
      </c>
    </row>
    <row r="241" spans="5:8" x14ac:dyDescent="0.25">
      <c r="E241" s="54" t="str">
        <f>IF(A241="","",SUMIF('Daftar Transaksi'!D:D,A241,'Daftar Transaksi'!F:F))</f>
        <v/>
      </c>
      <c r="F241" s="54" t="str">
        <f t="shared" si="9"/>
        <v/>
      </c>
      <c r="G241" s="54" t="str">
        <f t="shared" si="10"/>
        <v/>
      </c>
      <c r="H241" s="54" t="str">
        <f t="shared" si="11"/>
        <v/>
      </c>
    </row>
    <row r="242" spans="5:8" x14ac:dyDescent="0.25">
      <c r="E242" s="54" t="str">
        <f>IF(A242="","",SUMIF('Daftar Transaksi'!D:D,A242,'Daftar Transaksi'!F:F))</f>
        <v/>
      </c>
      <c r="F242" s="54" t="str">
        <f t="shared" si="9"/>
        <v/>
      </c>
      <c r="G242" s="54" t="str">
        <f t="shared" si="10"/>
        <v/>
      </c>
      <c r="H242" s="54" t="str">
        <f t="shared" si="11"/>
        <v/>
      </c>
    </row>
    <row r="243" spans="5:8" x14ac:dyDescent="0.25">
      <c r="E243" s="54" t="str">
        <f>IF(A243="","",SUMIF('Daftar Transaksi'!D:D,A243,'Daftar Transaksi'!F:F))</f>
        <v/>
      </c>
      <c r="F243" s="54" t="str">
        <f t="shared" si="9"/>
        <v/>
      </c>
      <c r="G243" s="54" t="str">
        <f t="shared" si="10"/>
        <v/>
      </c>
      <c r="H243" s="54" t="str">
        <f t="shared" si="11"/>
        <v/>
      </c>
    </row>
    <row r="244" spans="5:8" x14ac:dyDescent="0.25">
      <c r="E244" s="54" t="str">
        <f>IF(A244="","",SUMIF('Daftar Transaksi'!D:D,A244,'Daftar Transaksi'!F:F))</f>
        <v/>
      </c>
      <c r="F244" s="54" t="str">
        <f t="shared" si="9"/>
        <v/>
      </c>
      <c r="G244" s="54" t="str">
        <f t="shared" si="10"/>
        <v/>
      </c>
      <c r="H244" s="54" t="str">
        <f t="shared" si="11"/>
        <v/>
      </c>
    </row>
    <row r="245" spans="5:8" x14ac:dyDescent="0.25">
      <c r="E245" s="54" t="str">
        <f>IF(A245="","",SUMIF('Daftar Transaksi'!D:D,A245,'Daftar Transaksi'!F:F))</f>
        <v/>
      </c>
      <c r="F245" s="54" t="str">
        <f t="shared" si="9"/>
        <v/>
      </c>
      <c r="G245" s="54" t="str">
        <f t="shared" si="10"/>
        <v/>
      </c>
      <c r="H245" s="54" t="str">
        <f t="shared" si="11"/>
        <v/>
      </c>
    </row>
    <row r="246" spans="5:8" x14ac:dyDescent="0.25">
      <c r="E246" s="54" t="str">
        <f>IF(A246="","",SUMIF('Daftar Transaksi'!D:D,A246,'Daftar Transaksi'!F:F))</f>
        <v/>
      </c>
      <c r="F246" s="54" t="str">
        <f t="shared" si="9"/>
        <v/>
      </c>
      <c r="G246" s="54" t="str">
        <f t="shared" si="10"/>
        <v/>
      </c>
      <c r="H246" s="54" t="str">
        <f t="shared" si="11"/>
        <v/>
      </c>
    </row>
    <row r="247" spans="5:8" x14ac:dyDescent="0.25">
      <c r="E247" s="54" t="str">
        <f>IF(A247="","",SUMIF('Daftar Transaksi'!D:D,A247,'Daftar Transaksi'!F:F))</f>
        <v/>
      </c>
      <c r="F247" s="54" t="str">
        <f t="shared" si="9"/>
        <v/>
      </c>
      <c r="G247" s="54" t="str">
        <f t="shared" si="10"/>
        <v/>
      </c>
      <c r="H247" s="54" t="str">
        <f t="shared" si="11"/>
        <v/>
      </c>
    </row>
    <row r="248" spans="5:8" x14ac:dyDescent="0.25">
      <c r="E248" s="54" t="str">
        <f>IF(A248="","",SUMIF('Daftar Transaksi'!D:D,A248,'Daftar Transaksi'!F:F))</f>
        <v/>
      </c>
      <c r="F248" s="54" t="str">
        <f t="shared" si="9"/>
        <v/>
      </c>
      <c r="G248" s="54" t="str">
        <f t="shared" si="10"/>
        <v/>
      </c>
      <c r="H248" s="54" t="str">
        <f t="shared" si="11"/>
        <v/>
      </c>
    </row>
    <row r="249" spans="5:8" x14ac:dyDescent="0.25">
      <c r="E249" s="54" t="str">
        <f>IF(A249="","",SUMIF('Daftar Transaksi'!D:D,A249,'Daftar Transaksi'!F:F))</f>
        <v/>
      </c>
      <c r="F249" s="54" t="str">
        <f t="shared" si="9"/>
        <v/>
      </c>
      <c r="G249" s="54" t="str">
        <f t="shared" si="10"/>
        <v/>
      </c>
      <c r="H249" s="54" t="str">
        <f t="shared" si="11"/>
        <v/>
      </c>
    </row>
    <row r="250" spans="5:8" x14ac:dyDescent="0.25">
      <c r="E250" s="54" t="str">
        <f>IF(A250="","",SUMIF('Daftar Transaksi'!D:D,A250,'Daftar Transaksi'!F:F))</f>
        <v/>
      </c>
      <c r="F250" s="54" t="str">
        <f t="shared" si="9"/>
        <v/>
      </c>
      <c r="G250" s="54" t="str">
        <f t="shared" si="10"/>
        <v/>
      </c>
      <c r="H250" s="54" t="str">
        <f t="shared" si="11"/>
        <v/>
      </c>
    </row>
    <row r="251" spans="5:8" x14ac:dyDescent="0.25">
      <c r="E251" s="54" t="str">
        <f>IF(A251="","",SUMIF('Daftar Transaksi'!D:D,A251,'Daftar Transaksi'!F:F))</f>
        <v/>
      </c>
      <c r="F251" s="54" t="str">
        <f t="shared" si="9"/>
        <v/>
      </c>
      <c r="G251" s="54" t="str">
        <f t="shared" si="10"/>
        <v/>
      </c>
      <c r="H251" s="54" t="str">
        <f t="shared" si="11"/>
        <v/>
      </c>
    </row>
    <row r="252" spans="5:8" x14ac:dyDescent="0.25">
      <c r="E252" s="54" t="str">
        <f>IF(A252="","",SUMIF('Daftar Transaksi'!D:D,A252,'Daftar Transaksi'!F:F))</f>
        <v/>
      </c>
      <c r="F252" s="54" t="str">
        <f t="shared" si="9"/>
        <v/>
      </c>
      <c r="G252" s="54" t="str">
        <f t="shared" si="10"/>
        <v/>
      </c>
      <c r="H252" s="54" t="str">
        <f t="shared" si="11"/>
        <v/>
      </c>
    </row>
    <row r="253" spans="5:8" x14ac:dyDescent="0.25">
      <c r="E253" s="54" t="str">
        <f>IF(A253="","",SUMIF('Daftar Transaksi'!D:D,A253,'Daftar Transaksi'!F:F))</f>
        <v/>
      </c>
      <c r="F253" s="54" t="str">
        <f t="shared" si="9"/>
        <v/>
      </c>
      <c r="G253" s="54" t="str">
        <f t="shared" si="10"/>
        <v/>
      </c>
      <c r="H253" s="54" t="str">
        <f t="shared" si="11"/>
        <v/>
      </c>
    </row>
    <row r="254" spans="5:8" x14ac:dyDescent="0.25">
      <c r="E254" s="54" t="str">
        <f>IF(A254="","",SUMIF('Daftar Transaksi'!D:D,A254,'Daftar Transaksi'!F:F))</f>
        <v/>
      </c>
      <c r="F254" s="54" t="str">
        <f t="shared" si="9"/>
        <v/>
      </c>
      <c r="G254" s="54" t="str">
        <f t="shared" si="10"/>
        <v/>
      </c>
      <c r="H254" s="54" t="str">
        <f t="shared" si="11"/>
        <v/>
      </c>
    </row>
    <row r="255" spans="5:8" x14ac:dyDescent="0.25">
      <c r="E255" s="54" t="str">
        <f>IF(A255="","",SUMIF('Daftar Transaksi'!D:D,A255,'Daftar Transaksi'!F:F))</f>
        <v/>
      </c>
      <c r="F255" s="54" t="str">
        <f t="shared" ref="F255:F318" si="12">IF(A255="","",D255-E255)</f>
        <v/>
      </c>
      <c r="G255" s="54" t="str">
        <f t="shared" ref="G255:G318" si="13">IF(A255="","",C255*E255)</f>
        <v/>
      </c>
      <c r="H255" s="54" t="str">
        <f t="shared" ref="H255:H318" si="14">IF(A255="","",G255-(B255*E255))</f>
        <v/>
      </c>
    </row>
    <row r="256" spans="5:8" x14ac:dyDescent="0.25">
      <c r="E256" s="54" t="str">
        <f>IF(A256="","",SUMIF('Daftar Transaksi'!D:D,A256,'Daftar Transaksi'!F:F))</f>
        <v/>
      </c>
      <c r="F256" s="54" t="str">
        <f t="shared" si="12"/>
        <v/>
      </c>
      <c r="G256" s="54" t="str">
        <f t="shared" si="13"/>
        <v/>
      </c>
      <c r="H256" s="54" t="str">
        <f t="shared" si="14"/>
        <v/>
      </c>
    </row>
    <row r="257" spans="5:8" x14ac:dyDescent="0.25">
      <c r="E257" s="54" t="str">
        <f>IF(A257="","",SUMIF('Daftar Transaksi'!D:D,A257,'Daftar Transaksi'!F:F))</f>
        <v/>
      </c>
      <c r="F257" s="54" t="str">
        <f t="shared" si="12"/>
        <v/>
      </c>
      <c r="G257" s="54" t="str">
        <f t="shared" si="13"/>
        <v/>
      </c>
      <c r="H257" s="54" t="str">
        <f t="shared" si="14"/>
        <v/>
      </c>
    </row>
    <row r="258" spans="5:8" x14ac:dyDescent="0.25">
      <c r="E258" s="54" t="str">
        <f>IF(A258="","",SUMIF('Daftar Transaksi'!D:D,A258,'Daftar Transaksi'!F:F))</f>
        <v/>
      </c>
      <c r="F258" s="54" t="str">
        <f t="shared" si="12"/>
        <v/>
      </c>
      <c r="G258" s="54" t="str">
        <f t="shared" si="13"/>
        <v/>
      </c>
      <c r="H258" s="54" t="str">
        <f t="shared" si="14"/>
        <v/>
      </c>
    </row>
    <row r="259" spans="5:8" x14ac:dyDescent="0.25">
      <c r="E259" s="54" t="str">
        <f>IF(A259="","",SUMIF('Daftar Transaksi'!D:D,A259,'Daftar Transaksi'!F:F))</f>
        <v/>
      </c>
      <c r="F259" s="54" t="str">
        <f t="shared" si="12"/>
        <v/>
      </c>
      <c r="G259" s="54" t="str">
        <f t="shared" si="13"/>
        <v/>
      </c>
      <c r="H259" s="54" t="str">
        <f t="shared" si="14"/>
        <v/>
      </c>
    </row>
    <row r="260" spans="5:8" x14ac:dyDescent="0.25">
      <c r="E260" s="54" t="str">
        <f>IF(A260="","",SUMIF('Daftar Transaksi'!D:D,A260,'Daftar Transaksi'!F:F))</f>
        <v/>
      </c>
      <c r="F260" s="54" t="str">
        <f t="shared" si="12"/>
        <v/>
      </c>
      <c r="G260" s="54" t="str">
        <f t="shared" si="13"/>
        <v/>
      </c>
      <c r="H260" s="54" t="str">
        <f t="shared" si="14"/>
        <v/>
      </c>
    </row>
    <row r="261" spans="5:8" x14ac:dyDescent="0.25">
      <c r="E261" s="54" t="str">
        <f>IF(A261="","",SUMIF('Daftar Transaksi'!D:D,A261,'Daftar Transaksi'!F:F))</f>
        <v/>
      </c>
      <c r="F261" s="54" t="str">
        <f t="shared" si="12"/>
        <v/>
      </c>
      <c r="G261" s="54" t="str">
        <f t="shared" si="13"/>
        <v/>
      </c>
      <c r="H261" s="54" t="str">
        <f t="shared" si="14"/>
        <v/>
      </c>
    </row>
    <row r="262" spans="5:8" x14ac:dyDescent="0.25">
      <c r="E262" s="54" t="str">
        <f>IF(A262="","",SUMIF('Daftar Transaksi'!D:D,A262,'Daftar Transaksi'!F:F))</f>
        <v/>
      </c>
      <c r="F262" s="54" t="str">
        <f t="shared" si="12"/>
        <v/>
      </c>
      <c r="G262" s="54" t="str">
        <f t="shared" si="13"/>
        <v/>
      </c>
      <c r="H262" s="54" t="str">
        <f t="shared" si="14"/>
        <v/>
      </c>
    </row>
    <row r="263" spans="5:8" x14ac:dyDescent="0.25">
      <c r="E263" s="54" t="str">
        <f>IF(A263="","",SUMIF('Daftar Transaksi'!D:D,A263,'Daftar Transaksi'!F:F))</f>
        <v/>
      </c>
      <c r="F263" s="54" t="str">
        <f t="shared" si="12"/>
        <v/>
      </c>
      <c r="G263" s="54" t="str">
        <f t="shared" si="13"/>
        <v/>
      </c>
      <c r="H263" s="54" t="str">
        <f t="shared" si="14"/>
        <v/>
      </c>
    </row>
    <row r="264" spans="5:8" x14ac:dyDescent="0.25">
      <c r="E264" s="54" t="str">
        <f>IF(A264="","",SUMIF('Daftar Transaksi'!D:D,A264,'Daftar Transaksi'!F:F))</f>
        <v/>
      </c>
      <c r="F264" s="54" t="str">
        <f t="shared" si="12"/>
        <v/>
      </c>
      <c r="G264" s="54" t="str">
        <f t="shared" si="13"/>
        <v/>
      </c>
      <c r="H264" s="54" t="str">
        <f t="shared" si="14"/>
        <v/>
      </c>
    </row>
    <row r="265" spans="5:8" x14ac:dyDescent="0.25">
      <c r="E265" s="54" t="str">
        <f>IF(A265="","",SUMIF('Daftar Transaksi'!D:D,A265,'Daftar Transaksi'!F:F))</f>
        <v/>
      </c>
      <c r="F265" s="54" t="str">
        <f t="shared" si="12"/>
        <v/>
      </c>
      <c r="G265" s="54" t="str">
        <f t="shared" si="13"/>
        <v/>
      </c>
      <c r="H265" s="54" t="str">
        <f t="shared" si="14"/>
        <v/>
      </c>
    </row>
    <row r="266" spans="5:8" x14ac:dyDescent="0.25">
      <c r="E266" s="54" t="str">
        <f>IF(A266="","",SUMIF('Daftar Transaksi'!D:D,A266,'Daftar Transaksi'!F:F))</f>
        <v/>
      </c>
      <c r="F266" s="54" t="str">
        <f t="shared" si="12"/>
        <v/>
      </c>
      <c r="G266" s="54" t="str">
        <f t="shared" si="13"/>
        <v/>
      </c>
      <c r="H266" s="54" t="str">
        <f t="shared" si="14"/>
        <v/>
      </c>
    </row>
    <row r="267" spans="5:8" x14ac:dyDescent="0.25">
      <c r="E267" s="54" t="str">
        <f>IF(A267="","",SUMIF('Daftar Transaksi'!D:D,A267,'Daftar Transaksi'!F:F))</f>
        <v/>
      </c>
      <c r="F267" s="54" t="str">
        <f t="shared" si="12"/>
        <v/>
      </c>
      <c r="G267" s="54" t="str">
        <f t="shared" si="13"/>
        <v/>
      </c>
      <c r="H267" s="54" t="str">
        <f t="shared" si="14"/>
        <v/>
      </c>
    </row>
    <row r="268" spans="5:8" x14ac:dyDescent="0.25">
      <c r="E268" s="54" t="str">
        <f>IF(A268="","",SUMIF('Daftar Transaksi'!D:D,A268,'Daftar Transaksi'!F:F))</f>
        <v/>
      </c>
      <c r="F268" s="54" t="str">
        <f t="shared" si="12"/>
        <v/>
      </c>
      <c r="G268" s="54" t="str">
        <f t="shared" si="13"/>
        <v/>
      </c>
      <c r="H268" s="54" t="str">
        <f t="shared" si="14"/>
        <v/>
      </c>
    </row>
    <row r="269" spans="5:8" x14ac:dyDescent="0.25">
      <c r="E269" s="54" t="str">
        <f>IF(A269="","",SUMIF('Daftar Transaksi'!D:D,A269,'Daftar Transaksi'!F:F))</f>
        <v/>
      </c>
      <c r="F269" s="54" t="str">
        <f t="shared" si="12"/>
        <v/>
      </c>
      <c r="G269" s="54" t="str">
        <f t="shared" si="13"/>
        <v/>
      </c>
      <c r="H269" s="54" t="str">
        <f t="shared" si="14"/>
        <v/>
      </c>
    </row>
    <row r="270" spans="5:8" x14ac:dyDescent="0.25">
      <c r="E270" s="54" t="str">
        <f>IF(A270="","",SUMIF('Daftar Transaksi'!D:D,A270,'Daftar Transaksi'!F:F))</f>
        <v/>
      </c>
      <c r="F270" s="54" t="str">
        <f t="shared" si="12"/>
        <v/>
      </c>
      <c r="G270" s="54" t="str">
        <f t="shared" si="13"/>
        <v/>
      </c>
      <c r="H270" s="54" t="str">
        <f t="shared" si="14"/>
        <v/>
      </c>
    </row>
    <row r="271" spans="5:8" x14ac:dyDescent="0.25">
      <c r="E271" s="54" t="str">
        <f>IF(A271="","",SUMIF('Daftar Transaksi'!D:D,A271,'Daftar Transaksi'!F:F))</f>
        <v/>
      </c>
      <c r="F271" s="54" t="str">
        <f t="shared" si="12"/>
        <v/>
      </c>
      <c r="G271" s="54" t="str">
        <f t="shared" si="13"/>
        <v/>
      </c>
      <c r="H271" s="54" t="str">
        <f t="shared" si="14"/>
        <v/>
      </c>
    </row>
    <row r="272" spans="5:8" x14ac:dyDescent="0.25">
      <c r="E272" s="54" t="str">
        <f>IF(A272="","",SUMIF('Daftar Transaksi'!D:D,A272,'Daftar Transaksi'!F:F))</f>
        <v/>
      </c>
      <c r="F272" s="54" t="str">
        <f t="shared" si="12"/>
        <v/>
      </c>
      <c r="G272" s="54" t="str">
        <f t="shared" si="13"/>
        <v/>
      </c>
      <c r="H272" s="54" t="str">
        <f t="shared" si="14"/>
        <v/>
      </c>
    </row>
    <row r="273" spans="5:8" x14ac:dyDescent="0.25">
      <c r="E273" s="54" t="str">
        <f>IF(A273="","",SUMIF('Daftar Transaksi'!D:D,A273,'Daftar Transaksi'!F:F))</f>
        <v/>
      </c>
      <c r="F273" s="54" t="str">
        <f t="shared" si="12"/>
        <v/>
      </c>
      <c r="G273" s="54" t="str">
        <f t="shared" si="13"/>
        <v/>
      </c>
      <c r="H273" s="54" t="str">
        <f t="shared" si="14"/>
        <v/>
      </c>
    </row>
    <row r="274" spans="5:8" x14ac:dyDescent="0.25">
      <c r="E274" s="54" t="str">
        <f>IF(A274="","",SUMIF('Daftar Transaksi'!D:D,A274,'Daftar Transaksi'!F:F))</f>
        <v/>
      </c>
      <c r="F274" s="54" t="str">
        <f t="shared" si="12"/>
        <v/>
      </c>
      <c r="G274" s="54" t="str">
        <f t="shared" si="13"/>
        <v/>
      </c>
      <c r="H274" s="54" t="str">
        <f t="shared" si="14"/>
        <v/>
      </c>
    </row>
    <row r="275" spans="5:8" x14ac:dyDescent="0.25">
      <c r="E275" s="54" t="str">
        <f>IF(A275="","",SUMIF('Daftar Transaksi'!D:D,A275,'Daftar Transaksi'!F:F))</f>
        <v/>
      </c>
      <c r="F275" s="54" t="str">
        <f t="shared" si="12"/>
        <v/>
      </c>
      <c r="G275" s="54" t="str">
        <f t="shared" si="13"/>
        <v/>
      </c>
      <c r="H275" s="54" t="str">
        <f t="shared" si="14"/>
        <v/>
      </c>
    </row>
    <row r="276" spans="5:8" x14ac:dyDescent="0.25">
      <c r="E276" s="54" t="str">
        <f>IF(A276="","",SUMIF('Daftar Transaksi'!D:D,A276,'Daftar Transaksi'!F:F))</f>
        <v/>
      </c>
      <c r="F276" s="54" t="str">
        <f t="shared" si="12"/>
        <v/>
      </c>
      <c r="G276" s="54" t="str">
        <f t="shared" si="13"/>
        <v/>
      </c>
      <c r="H276" s="54" t="str">
        <f t="shared" si="14"/>
        <v/>
      </c>
    </row>
    <row r="277" spans="5:8" x14ac:dyDescent="0.25">
      <c r="E277" s="54" t="str">
        <f>IF(A277="","",SUMIF('Daftar Transaksi'!D:D,A277,'Daftar Transaksi'!F:F))</f>
        <v/>
      </c>
      <c r="F277" s="54" t="str">
        <f t="shared" si="12"/>
        <v/>
      </c>
      <c r="G277" s="54" t="str">
        <f t="shared" si="13"/>
        <v/>
      </c>
      <c r="H277" s="54" t="str">
        <f t="shared" si="14"/>
        <v/>
      </c>
    </row>
    <row r="278" spans="5:8" x14ac:dyDescent="0.25">
      <c r="E278" s="54" t="str">
        <f>IF(A278="","",SUMIF('Daftar Transaksi'!D:D,A278,'Daftar Transaksi'!F:F))</f>
        <v/>
      </c>
      <c r="F278" s="54" t="str">
        <f t="shared" si="12"/>
        <v/>
      </c>
      <c r="G278" s="54" t="str">
        <f t="shared" si="13"/>
        <v/>
      </c>
      <c r="H278" s="54" t="str">
        <f t="shared" si="14"/>
        <v/>
      </c>
    </row>
    <row r="279" spans="5:8" x14ac:dyDescent="0.25">
      <c r="E279" s="54" t="str">
        <f>IF(A279="","",SUMIF('Daftar Transaksi'!D:D,A279,'Daftar Transaksi'!F:F))</f>
        <v/>
      </c>
      <c r="F279" s="54" t="str">
        <f t="shared" si="12"/>
        <v/>
      </c>
      <c r="G279" s="54" t="str">
        <f t="shared" si="13"/>
        <v/>
      </c>
      <c r="H279" s="54" t="str">
        <f t="shared" si="14"/>
        <v/>
      </c>
    </row>
    <row r="280" spans="5:8" x14ac:dyDescent="0.25">
      <c r="E280" s="54" t="str">
        <f>IF(A280="","",SUMIF('Daftar Transaksi'!D:D,A280,'Daftar Transaksi'!F:F))</f>
        <v/>
      </c>
      <c r="F280" s="54" t="str">
        <f t="shared" si="12"/>
        <v/>
      </c>
      <c r="G280" s="54" t="str">
        <f t="shared" si="13"/>
        <v/>
      </c>
      <c r="H280" s="54" t="str">
        <f t="shared" si="14"/>
        <v/>
      </c>
    </row>
    <row r="281" spans="5:8" x14ac:dyDescent="0.25">
      <c r="E281" s="54" t="str">
        <f>IF(A281="","",SUMIF('Daftar Transaksi'!D:D,A281,'Daftar Transaksi'!F:F))</f>
        <v/>
      </c>
      <c r="F281" s="54" t="str">
        <f t="shared" si="12"/>
        <v/>
      </c>
      <c r="G281" s="54" t="str">
        <f t="shared" si="13"/>
        <v/>
      </c>
      <c r="H281" s="54" t="str">
        <f t="shared" si="14"/>
        <v/>
      </c>
    </row>
    <row r="282" spans="5:8" x14ac:dyDescent="0.25">
      <c r="E282" s="54" t="str">
        <f>IF(A282="","",SUMIF('Daftar Transaksi'!D:D,A282,'Daftar Transaksi'!F:F))</f>
        <v/>
      </c>
      <c r="F282" s="54" t="str">
        <f t="shared" si="12"/>
        <v/>
      </c>
      <c r="G282" s="54" t="str">
        <f t="shared" si="13"/>
        <v/>
      </c>
      <c r="H282" s="54" t="str">
        <f t="shared" si="14"/>
        <v/>
      </c>
    </row>
    <row r="283" spans="5:8" x14ac:dyDescent="0.25">
      <c r="E283" s="54" t="str">
        <f>IF(A283="","",SUMIF('Daftar Transaksi'!D:D,A283,'Daftar Transaksi'!F:F))</f>
        <v/>
      </c>
      <c r="F283" s="54" t="str">
        <f t="shared" si="12"/>
        <v/>
      </c>
      <c r="G283" s="54" t="str">
        <f t="shared" si="13"/>
        <v/>
      </c>
      <c r="H283" s="54" t="str">
        <f t="shared" si="14"/>
        <v/>
      </c>
    </row>
    <row r="284" spans="5:8" x14ac:dyDescent="0.25">
      <c r="E284" s="54" t="str">
        <f>IF(A284="","",SUMIF('Daftar Transaksi'!D:D,A284,'Daftar Transaksi'!F:F))</f>
        <v/>
      </c>
      <c r="F284" s="54" t="str">
        <f t="shared" si="12"/>
        <v/>
      </c>
      <c r="G284" s="54" t="str">
        <f t="shared" si="13"/>
        <v/>
      </c>
      <c r="H284" s="54" t="str">
        <f t="shared" si="14"/>
        <v/>
      </c>
    </row>
    <row r="285" spans="5:8" x14ac:dyDescent="0.25">
      <c r="E285" s="54" t="str">
        <f>IF(A285="","",SUMIF('Daftar Transaksi'!D:D,A285,'Daftar Transaksi'!F:F))</f>
        <v/>
      </c>
      <c r="F285" s="54" t="str">
        <f t="shared" si="12"/>
        <v/>
      </c>
      <c r="G285" s="54" t="str">
        <f t="shared" si="13"/>
        <v/>
      </c>
      <c r="H285" s="54" t="str">
        <f t="shared" si="14"/>
        <v/>
      </c>
    </row>
    <row r="286" spans="5:8" x14ac:dyDescent="0.25">
      <c r="E286" s="54" t="str">
        <f>IF(A286="","",SUMIF('Daftar Transaksi'!D:D,A286,'Daftar Transaksi'!F:F))</f>
        <v/>
      </c>
      <c r="F286" s="54" t="str">
        <f t="shared" si="12"/>
        <v/>
      </c>
      <c r="G286" s="54" t="str">
        <f t="shared" si="13"/>
        <v/>
      </c>
      <c r="H286" s="54" t="str">
        <f t="shared" si="14"/>
        <v/>
      </c>
    </row>
    <row r="287" spans="5:8" x14ac:dyDescent="0.25">
      <c r="E287" s="54" t="str">
        <f>IF(A287="","",SUMIF('Daftar Transaksi'!D:D,A287,'Daftar Transaksi'!F:F))</f>
        <v/>
      </c>
      <c r="F287" s="54" t="str">
        <f t="shared" si="12"/>
        <v/>
      </c>
      <c r="G287" s="54" t="str">
        <f t="shared" si="13"/>
        <v/>
      </c>
      <c r="H287" s="54" t="str">
        <f t="shared" si="14"/>
        <v/>
      </c>
    </row>
    <row r="288" spans="5:8" x14ac:dyDescent="0.25">
      <c r="E288" s="54" t="str">
        <f>IF(A288="","",SUMIF('Daftar Transaksi'!D:D,A288,'Daftar Transaksi'!F:F))</f>
        <v/>
      </c>
      <c r="F288" s="54" t="str">
        <f t="shared" si="12"/>
        <v/>
      </c>
      <c r="G288" s="54" t="str">
        <f t="shared" si="13"/>
        <v/>
      </c>
      <c r="H288" s="54" t="str">
        <f t="shared" si="14"/>
        <v/>
      </c>
    </row>
    <row r="289" spans="5:8" x14ac:dyDescent="0.25">
      <c r="E289" s="54" t="str">
        <f>IF(A289="","",SUMIF('Daftar Transaksi'!D:D,A289,'Daftar Transaksi'!F:F))</f>
        <v/>
      </c>
      <c r="F289" s="54" t="str">
        <f t="shared" si="12"/>
        <v/>
      </c>
      <c r="G289" s="54" t="str">
        <f t="shared" si="13"/>
        <v/>
      </c>
      <c r="H289" s="54" t="str">
        <f t="shared" si="14"/>
        <v/>
      </c>
    </row>
    <row r="290" spans="5:8" x14ac:dyDescent="0.25">
      <c r="E290" s="54" t="str">
        <f>IF(A290="","",SUMIF('Daftar Transaksi'!D:D,A290,'Daftar Transaksi'!F:F))</f>
        <v/>
      </c>
      <c r="F290" s="54" t="str">
        <f t="shared" si="12"/>
        <v/>
      </c>
      <c r="G290" s="54" t="str">
        <f t="shared" si="13"/>
        <v/>
      </c>
      <c r="H290" s="54" t="str">
        <f t="shared" si="14"/>
        <v/>
      </c>
    </row>
    <row r="291" spans="5:8" x14ac:dyDescent="0.25">
      <c r="E291" s="54" t="str">
        <f>IF(A291="","",SUMIF('Daftar Transaksi'!D:D,A291,'Daftar Transaksi'!F:F))</f>
        <v/>
      </c>
      <c r="F291" s="54" t="str">
        <f t="shared" si="12"/>
        <v/>
      </c>
      <c r="G291" s="54" t="str">
        <f t="shared" si="13"/>
        <v/>
      </c>
      <c r="H291" s="54" t="str">
        <f t="shared" si="14"/>
        <v/>
      </c>
    </row>
    <row r="292" spans="5:8" x14ac:dyDescent="0.25">
      <c r="E292" s="54" t="str">
        <f>IF(A292="","",SUMIF('Daftar Transaksi'!D:D,A292,'Daftar Transaksi'!F:F))</f>
        <v/>
      </c>
      <c r="F292" s="54" t="str">
        <f t="shared" si="12"/>
        <v/>
      </c>
      <c r="G292" s="54" t="str">
        <f t="shared" si="13"/>
        <v/>
      </c>
      <c r="H292" s="54" t="str">
        <f t="shared" si="14"/>
        <v/>
      </c>
    </row>
    <row r="293" spans="5:8" x14ac:dyDescent="0.25">
      <c r="E293" s="54" t="str">
        <f>IF(A293="","",SUMIF('Daftar Transaksi'!D:D,A293,'Daftar Transaksi'!F:F))</f>
        <v/>
      </c>
      <c r="F293" s="54" t="str">
        <f t="shared" si="12"/>
        <v/>
      </c>
      <c r="G293" s="54" t="str">
        <f t="shared" si="13"/>
        <v/>
      </c>
      <c r="H293" s="54" t="str">
        <f t="shared" si="14"/>
        <v/>
      </c>
    </row>
    <row r="294" spans="5:8" x14ac:dyDescent="0.25">
      <c r="E294" s="54" t="str">
        <f>IF(A294="","",SUMIF('Daftar Transaksi'!D:D,A294,'Daftar Transaksi'!F:F))</f>
        <v/>
      </c>
      <c r="F294" s="54" t="str">
        <f t="shared" si="12"/>
        <v/>
      </c>
      <c r="G294" s="54" t="str">
        <f t="shared" si="13"/>
        <v/>
      </c>
      <c r="H294" s="54" t="str">
        <f t="shared" si="14"/>
        <v/>
      </c>
    </row>
    <row r="295" spans="5:8" x14ac:dyDescent="0.25">
      <c r="E295" s="54" t="str">
        <f>IF(A295="","",SUMIF('Daftar Transaksi'!D:D,A295,'Daftar Transaksi'!F:F))</f>
        <v/>
      </c>
      <c r="F295" s="54" t="str">
        <f t="shared" si="12"/>
        <v/>
      </c>
      <c r="G295" s="54" t="str">
        <f t="shared" si="13"/>
        <v/>
      </c>
      <c r="H295" s="54" t="str">
        <f t="shared" si="14"/>
        <v/>
      </c>
    </row>
    <row r="296" spans="5:8" x14ac:dyDescent="0.25">
      <c r="E296" s="54" t="str">
        <f>IF(A296="","",SUMIF('Daftar Transaksi'!D:D,A296,'Daftar Transaksi'!F:F))</f>
        <v/>
      </c>
      <c r="F296" s="54" t="str">
        <f t="shared" si="12"/>
        <v/>
      </c>
      <c r="G296" s="54" t="str">
        <f t="shared" si="13"/>
        <v/>
      </c>
      <c r="H296" s="54" t="str">
        <f t="shared" si="14"/>
        <v/>
      </c>
    </row>
    <row r="297" spans="5:8" x14ac:dyDescent="0.25">
      <c r="E297" s="54" t="str">
        <f>IF(A297="","",SUMIF('Daftar Transaksi'!D:D,A297,'Daftar Transaksi'!F:F))</f>
        <v/>
      </c>
      <c r="F297" s="54" t="str">
        <f t="shared" si="12"/>
        <v/>
      </c>
      <c r="G297" s="54" t="str">
        <f t="shared" si="13"/>
        <v/>
      </c>
      <c r="H297" s="54" t="str">
        <f t="shared" si="14"/>
        <v/>
      </c>
    </row>
    <row r="298" spans="5:8" x14ac:dyDescent="0.25">
      <c r="E298" s="54" t="str">
        <f>IF(A298="","",SUMIF('Daftar Transaksi'!D:D,A298,'Daftar Transaksi'!F:F))</f>
        <v/>
      </c>
      <c r="F298" s="54" t="str">
        <f t="shared" si="12"/>
        <v/>
      </c>
      <c r="G298" s="54" t="str">
        <f t="shared" si="13"/>
        <v/>
      </c>
      <c r="H298" s="54" t="str">
        <f t="shared" si="14"/>
        <v/>
      </c>
    </row>
    <row r="299" spans="5:8" x14ac:dyDescent="0.25">
      <c r="E299" s="54" t="str">
        <f>IF(A299="","",SUMIF('Daftar Transaksi'!D:D,A299,'Daftar Transaksi'!F:F))</f>
        <v/>
      </c>
      <c r="F299" s="54" t="str">
        <f t="shared" si="12"/>
        <v/>
      </c>
      <c r="G299" s="54" t="str">
        <f t="shared" si="13"/>
        <v/>
      </c>
      <c r="H299" s="54" t="str">
        <f t="shared" si="14"/>
        <v/>
      </c>
    </row>
    <row r="300" spans="5:8" x14ac:dyDescent="0.25">
      <c r="E300" s="54" t="str">
        <f>IF(A300="","",SUMIF('Daftar Transaksi'!D:D,A300,'Daftar Transaksi'!F:F))</f>
        <v/>
      </c>
      <c r="F300" s="54" t="str">
        <f t="shared" si="12"/>
        <v/>
      </c>
      <c r="G300" s="54" t="str">
        <f t="shared" si="13"/>
        <v/>
      </c>
      <c r="H300" s="54" t="str">
        <f t="shared" si="14"/>
        <v/>
      </c>
    </row>
    <row r="301" spans="5:8" x14ac:dyDescent="0.25">
      <c r="E301" s="54" t="str">
        <f>IF(A301="","",SUMIF('Daftar Transaksi'!D:D,A301,'Daftar Transaksi'!F:F))</f>
        <v/>
      </c>
      <c r="F301" s="54" t="str">
        <f t="shared" si="12"/>
        <v/>
      </c>
      <c r="G301" s="54" t="str">
        <f t="shared" si="13"/>
        <v/>
      </c>
      <c r="H301" s="54" t="str">
        <f t="shared" si="14"/>
        <v/>
      </c>
    </row>
    <row r="302" spans="5:8" x14ac:dyDescent="0.25">
      <c r="E302" s="54" t="str">
        <f>IF(A302="","",SUMIF('Daftar Transaksi'!D:D,A302,'Daftar Transaksi'!F:F))</f>
        <v/>
      </c>
      <c r="F302" s="54" t="str">
        <f t="shared" si="12"/>
        <v/>
      </c>
      <c r="G302" s="54" t="str">
        <f t="shared" si="13"/>
        <v/>
      </c>
      <c r="H302" s="54" t="str">
        <f t="shared" si="14"/>
        <v/>
      </c>
    </row>
    <row r="303" spans="5:8" x14ac:dyDescent="0.25">
      <c r="E303" s="54" t="str">
        <f>IF(A303="","",SUMIF('Daftar Transaksi'!D:D,A303,'Daftar Transaksi'!F:F))</f>
        <v/>
      </c>
      <c r="F303" s="54" t="str">
        <f t="shared" si="12"/>
        <v/>
      </c>
      <c r="G303" s="54" t="str">
        <f t="shared" si="13"/>
        <v/>
      </c>
      <c r="H303" s="54" t="str">
        <f t="shared" si="14"/>
        <v/>
      </c>
    </row>
    <row r="304" spans="5:8" x14ac:dyDescent="0.25">
      <c r="E304" s="54" t="str">
        <f>IF(A304="","",SUMIF('Daftar Transaksi'!D:D,A304,'Daftar Transaksi'!F:F))</f>
        <v/>
      </c>
      <c r="F304" s="54" t="str">
        <f t="shared" si="12"/>
        <v/>
      </c>
      <c r="G304" s="54" t="str">
        <f t="shared" si="13"/>
        <v/>
      </c>
      <c r="H304" s="54" t="str">
        <f t="shared" si="14"/>
        <v/>
      </c>
    </row>
    <row r="305" spans="5:8" x14ac:dyDescent="0.25">
      <c r="E305" s="54" t="str">
        <f>IF(A305="","",SUMIF('Daftar Transaksi'!D:D,A305,'Daftar Transaksi'!F:F))</f>
        <v/>
      </c>
      <c r="F305" s="54" t="str">
        <f t="shared" si="12"/>
        <v/>
      </c>
      <c r="G305" s="54" t="str">
        <f t="shared" si="13"/>
        <v/>
      </c>
      <c r="H305" s="54" t="str">
        <f t="shared" si="14"/>
        <v/>
      </c>
    </row>
    <row r="306" spans="5:8" x14ac:dyDescent="0.25">
      <c r="E306" s="54" t="str">
        <f>IF(A306="","",SUMIF('Daftar Transaksi'!D:D,A306,'Daftar Transaksi'!F:F))</f>
        <v/>
      </c>
      <c r="F306" s="54" t="str">
        <f t="shared" si="12"/>
        <v/>
      </c>
      <c r="G306" s="54" t="str">
        <f t="shared" si="13"/>
        <v/>
      </c>
      <c r="H306" s="54" t="str">
        <f t="shared" si="14"/>
        <v/>
      </c>
    </row>
    <row r="307" spans="5:8" x14ac:dyDescent="0.25">
      <c r="E307" s="54" t="str">
        <f>IF(A307="","",SUMIF('Daftar Transaksi'!D:D,A307,'Daftar Transaksi'!F:F))</f>
        <v/>
      </c>
      <c r="F307" s="54" t="str">
        <f t="shared" si="12"/>
        <v/>
      </c>
      <c r="G307" s="54" t="str">
        <f t="shared" si="13"/>
        <v/>
      </c>
      <c r="H307" s="54" t="str">
        <f t="shared" si="14"/>
        <v/>
      </c>
    </row>
    <row r="308" spans="5:8" x14ac:dyDescent="0.25">
      <c r="E308" s="54" t="str">
        <f>IF(A308="","",SUMIF('Daftar Transaksi'!D:D,A308,'Daftar Transaksi'!F:F))</f>
        <v/>
      </c>
      <c r="F308" s="54" t="str">
        <f t="shared" si="12"/>
        <v/>
      </c>
      <c r="G308" s="54" t="str">
        <f t="shared" si="13"/>
        <v/>
      </c>
      <c r="H308" s="54" t="str">
        <f t="shared" si="14"/>
        <v/>
      </c>
    </row>
    <row r="309" spans="5:8" x14ac:dyDescent="0.25">
      <c r="E309" s="54" t="str">
        <f>IF(A309="","",SUMIF('Daftar Transaksi'!D:D,A309,'Daftar Transaksi'!F:F))</f>
        <v/>
      </c>
      <c r="F309" s="54" t="str">
        <f t="shared" si="12"/>
        <v/>
      </c>
      <c r="G309" s="54" t="str">
        <f t="shared" si="13"/>
        <v/>
      </c>
      <c r="H309" s="54" t="str">
        <f t="shared" si="14"/>
        <v/>
      </c>
    </row>
    <row r="310" spans="5:8" x14ac:dyDescent="0.25">
      <c r="E310" s="54" t="str">
        <f>IF(A310="","",SUMIF('Daftar Transaksi'!D:D,A310,'Daftar Transaksi'!F:F))</f>
        <v/>
      </c>
      <c r="F310" s="54" t="str">
        <f t="shared" si="12"/>
        <v/>
      </c>
      <c r="G310" s="54" t="str">
        <f t="shared" si="13"/>
        <v/>
      </c>
      <c r="H310" s="54" t="str">
        <f t="shared" si="14"/>
        <v/>
      </c>
    </row>
    <row r="311" spans="5:8" x14ac:dyDescent="0.25">
      <c r="E311" s="54" t="str">
        <f>IF(A311="","",SUMIF('Daftar Transaksi'!D:D,A311,'Daftar Transaksi'!F:F))</f>
        <v/>
      </c>
      <c r="F311" s="54" t="str">
        <f t="shared" si="12"/>
        <v/>
      </c>
      <c r="G311" s="54" t="str">
        <f t="shared" si="13"/>
        <v/>
      </c>
      <c r="H311" s="54" t="str">
        <f t="shared" si="14"/>
        <v/>
      </c>
    </row>
    <row r="312" spans="5:8" x14ac:dyDescent="0.25">
      <c r="E312" s="54" t="str">
        <f>IF(A312="","",SUMIF('Daftar Transaksi'!D:D,A312,'Daftar Transaksi'!F:F))</f>
        <v/>
      </c>
      <c r="F312" s="54" t="str">
        <f t="shared" si="12"/>
        <v/>
      </c>
      <c r="G312" s="54" t="str">
        <f t="shared" si="13"/>
        <v/>
      </c>
      <c r="H312" s="54" t="str">
        <f t="shared" si="14"/>
        <v/>
      </c>
    </row>
    <row r="313" spans="5:8" x14ac:dyDescent="0.25">
      <c r="E313" s="54" t="str">
        <f>IF(A313="","",SUMIF('Daftar Transaksi'!D:D,A313,'Daftar Transaksi'!F:F))</f>
        <v/>
      </c>
      <c r="F313" s="54" t="str">
        <f t="shared" si="12"/>
        <v/>
      </c>
      <c r="G313" s="54" t="str">
        <f t="shared" si="13"/>
        <v/>
      </c>
      <c r="H313" s="54" t="str">
        <f t="shared" si="14"/>
        <v/>
      </c>
    </row>
    <row r="314" spans="5:8" x14ac:dyDescent="0.25">
      <c r="E314" s="54" t="str">
        <f>IF(A314="","",SUMIF('Daftar Transaksi'!D:D,A314,'Daftar Transaksi'!F:F))</f>
        <v/>
      </c>
      <c r="F314" s="54" t="str">
        <f t="shared" si="12"/>
        <v/>
      </c>
      <c r="G314" s="54" t="str">
        <f t="shared" si="13"/>
        <v/>
      </c>
      <c r="H314" s="54" t="str">
        <f t="shared" si="14"/>
        <v/>
      </c>
    </row>
    <row r="315" spans="5:8" x14ac:dyDescent="0.25">
      <c r="E315" s="54" t="str">
        <f>IF(A315="","",SUMIF('Daftar Transaksi'!D:D,A315,'Daftar Transaksi'!F:F))</f>
        <v/>
      </c>
      <c r="F315" s="54" t="str">
        <f t="shared" si="12"/>
        <v/>
      </c>
      <c r="G315" s="54" t="str">
        <f t="shared" si="13"/>
        <v/>
      </c>
      <c r="H315" s="54" t="str">
        <f t="shared" si="14"/>
        <v/>
      </c>
    </row>
    <row r="316" spans="5:8" x14ac:dyDescent="0.25">
      <c r="E316" s="54" t="str">
        <f>IF(A316="","",SUMIF('Daftar Transaksi'!D:D,A316,'Daftar Transaksi'!F:F))</f>
        <v/>
      </c>
      <c r="F316" s="54" t="str">
        <f t="shared" si="12"/>
        <v/>
      </c>
      <c r="G316" s="54" t="str">
        <f t="shared" si="13"/>
        <v/>
      </c>
      <c r="H316" s="54" t="str">
        <f t="shared" si="14"/>
        <v/>
      </c>
    </row>
    <row r="317" spans="5:8" x14ac:dyDescent="0.25">
      <c r="E317" s="54" t="str">
        <f>IF(A317="","",SUMIF('Daftar Transaksi'!D:D,A317,'Daftar Transaksi'!F:F))</f>
        <v/>
      </c>
      <c r="F317" s="54" t="str">
        <f t="shared" si="12"/>
        <v/>
      </c>
      <c r="G317" s="54" t="str">
        <f t="shared" si="13"/>
        <v/>
      </c>
      <c r="H317" s="54" t="str">
        <f t="shared" si="14"/>
        <v/>
      </c>
    </row>
    <row r="318" spans="5:8" x14ac:dyDescent="0.25">
      <c r="E318" s="54" t="str">
        <f>IF(A318="","",SUMIF('Daftar Transaksi'!D:D,A318,'Daftar Transaksi'!F:F))</f>
        <v/>
      </c>
      <c r="F318" s="54" t="str">
        <f t="shared" si="12"/>
        <v/>
      </c>
      <c r="G318" s="54" t="str">
        <f t="shared" si="13"/>
        <v/>
      </c>
      <c r="H318" s="54" t="str">
        <f t="shared" si="14"/>
        <v/>
      </c>
    </row>
    <row r="319" spans="5:8" x14ac:dyDescent="0.25">
      <c r="E319" s="54" t="str">
        <f>IF(A319="","",SUMIF('Daftar Transaksi'!D:D,A319,'Daftar Transaksi'!F:F))</f>
        <v/>
      </c>
      <c r="F319" s="54" t="str">
        <f t="shared" ref="F319:F382" si="15">IF(A319="","",D319-E319)</f>
        <v/>
      </c>
      <c r="G319" s="54" t="str">
        <f t="shared" ref="G319:G382" si="16">IF(A319="","",C319*E319)</f>
        <v/>
      </c>
      <c r="H319" s="54" t="str">
        <f t="shared" ref="H319:H382" si="17">IF(A319="","",G319-(B319*E319))</f>
        <v/>
      </c>
    </row>
    <row r="320" spans="5:8" x14ac:dyDescent="0.25">
      <c r="E320" s="54" t="str">
        <f>IF(A320="","",SUMIF('Daftar Transaksi'!D:D,A320,'Daftar Transaksi'!F:F))</f>
        <v/>
      </c>
      <c r="F320" s="54" t="str">
        <f t="shared" si="15"/>
        <v/>
      </c>
      <c r="G320" s="54" t="str">
        <f t="shared" si="16"/>
        <v/>
      </c>
      <c r="H320" s="54" t="str">
        <f t="shared" si="17"/>
        <v/>
      </c>
    </row>
    <row r="321" spans="5:8" x14ac:dyDescent="0.25">
      <c r="E321" s="54" t="str">
        <f>IF(A321="","",SUMIF('Daftar Transaksi'!D:D,A321,'Daftar Transaksi'!F:F))</f>
        <v/>
      </c>
      <c r="F321" s="54" t="str">
        <f t="shared" si="15"/>
        <v/>
      </c>
      <c r="G321" s="54" t="str">
        <f t="shared" si="16"/>
        <v/>
      </c>
      <c r="H321" s="54" t="str">
        <f t="shared" si="17"/>
        <v/>
      </c>
    </row>
    <row r="322" spans="5:8" x14ac:dyDescent="0.25">
      <c r="E322" s="54" t="str">
        <f>IF(A322="","",SUMIF('Daftar Transaksi'!D:D,A322,'Daftar Transaksi'!F:F))</f>
        <v/>
      </c>
      <c r="F322" s="54" t="str">
        <f t="shared" si="15"/>
        <v/>
      </c>
      <c r="G322" s="54" t="str">
        <f t="shared" si="16"/>
        <v/>
      </c>
      <c r="H322" s="54" t="str">
        <f t="shared" si="17"/>
        <v/>
      </c>
    </row>
    <row r="323" spans="5:8" x14ac:dyDescent="0.25">
      <c r="E323" s="54" t="str">
        <f>IF(A323="","",SUMIF('Daftar Transaksi'!D:D,A323,'Daftar Transaksi'!F:F))</f>
        <v/>
      </c>
      <c r="F323" s="54" t="str">
        <f t="shared" si="15"/>
        <v/>
      </c>
      <c r="G323" s="54" t="str">
        <f t="shared" si="16"/>
        <v/>
      </c>
      <c r="H323" s="54" t="str">
        <f t="shared" si="17"/>
        <v/>
      </c>
    </row>
    <row r="324" spans="5:8" x14ac:dyDescent="0.25">
      <c r="E324" s="54" t="str">
        <f>IF(A324="","",SUMIF('Daftar Transaksi'!D:D,A324,'Daftar Transaksi'!F:F))</f>
        <v/>
      </c>
      <c r="F324" s="54" t="str">
        <f t="shared" si="15"/>
        <v/>
      </c>
      <c r="G324" s="54" t="str">
        <f t="shared" si="16"/>
        <v/>
      </c>
      <c r="H324" s="54" t="str">
        <f t="shared" si="17"/>
        <v/>
      </c>
    </row>
    <row r="325" spans="5:8" x14ac:dyDescent="0.25">
      <c r="E325" s="54" t="str">
        <f>IF(A325="","",SUMIF('Daftar Transaksi'!D:D,A325,'Daftar Transaksi'!F:F))</f>
        <v/>
      </c>
      <c r="F325" s="54" t="str">
        <f t="shared" si="15"/>
        <v/>
      </c>
      <c r="G325" s="54" t="str">
        <f t="shared" si="16"/>
        <v/>
      </c>
      <c r="H325" s="54" t="str">
        <f t="shared" si="17"/>
        <v/>
      </c>
    </row>
    <row r="326" spans="5:8" x14ac:dyDescent="0.25">
      <c r="E326" s="54" t="str">
        <f>IF(A326="","",SUMIF('Daftar Transaksi'!D:D,A326,'Daftar Transaksi'!F:F))</f>
        <v/>
      </c>
      <c r="F326" s="54" t="str">
        <f t="shared" si="15"/>
        <v/>
      </c>
      <c r="G326" s="54" t="str">
        <f t="shared" si="16"/>
        <v/>
      </c>
      <c r="H326" s="54" t="str">
        <f t="shared" si="17"/>
        <v/>
      </c>
    </row>
    <row r="327" spans="5:8" x14ac:dyDescent="0.25">
      <c r="E327" s="54" t="str">
        <f>IF(A327="","",SUMIF('Daftar Transaksi'!D:D,A327,'Daftar Transaksi'!F:F))</f>
        <v/>
      </c>
      <c r="F327" s="54" t="str">
        <f t="shared" si="15"/>
        <v/>
      </c>
      <c r="G327" s="54" t="str">
        <f t="shared" si="16"/>
        <v/>
      </c>
      <c r="H327" s="54" t="str">
        <f t="shared" si="17"/>
        <v/>
      </c>
    </row>
    <row r="328" spans="5:8" x14ac:dyDescent="0.25">
      <c r="E328" s="54" t="str">
        <f>IF(A328="","",SUMIF('Daftar Transaksi'!D:D,A328,'Daftar Transaksi'!F:F))</f>
        <v/>
      </c>
      <c r="F328" s="54" t="str">
        <f t="shared" si="15"/>
        <v/>
      </c>
      <c r="G328" s="54" t="str">
        <f t="shared" si="16"/>
        <v/>
      </c>
      <c r="H328" s="54" t="str">
        <f t="shared" si="17"/>
        <v/>
      </c>
    </row>
    <row r="329" spans="5:8" x14ac:dyDescent="0.25">
      <c r="E329" s="54" t="str">
        <f>IF(A329="","",SUMIF('Daftar Transaksi'!D:D,A329,'Daftar Transaksi'!F:F))</f>
        <v/>
      </c>
      <c r="F329" s="54" t="str">
        <f t="shared" si="15"/>
        <v/>
      </c>
      <c r="G329" s="54" t="str">
        <f t="shared" si="16"/>
        <v/>
      </c>
      <c r="H329" s="54" t="str">
        <f t="shared" si="17"/>
        <v/>
      </c>
    </row>
    <row r="330" spans="5:8" x14ac:dyDescent="0.25">
      <c r="E330" s="54" t="str">
        <f>IF(A330="","",SUMIF('Daftar Transaksi'!D:D,A330,'Daftar Transaksi'!F:F))</f>
        <v/>
      </c>
      <c r="F330" s="54" t="str">
        <f t="shared" si="15"/>
        <v/>
      </c>
      <c r="G330" s="54" t="str">
        <f t="shared" si="16"/>
        <v/>
      </c>
      <c r="H330" s="54" t="str">
        <f t="shared" si="17"/>
        <v/>
      </c>
    </row>
    <row r="331" spans="5:8" x14ac:dyDescent="0.25">
      <c r="E331" s="54" t="str">
        <f>IF(A331="","",SUMIF('Daftar Transaksi'!D:D,A331,'Daftar Transaksi'!F:F))</f>
        <v/>
      </c>
      <c r="F331" s="54" t="str">
        <f t="shared" si="15"/>
        <v/>
      </c>
      <c r="G331" s="54" t="str">
        <f t="shared" si="16"/>
        <v/>
      </c>
      <c r="H331" s="54" t="str">
        <f t="shared" si="17"/>
        <v/>
      </c>
    </row>
    <row r="332" spans="5:8" x14ac:dyDescent="0.25">
      <c r="E332" s="54" t="str">
        <f>IF(A332="","",SUMIF('Daftar Transaksi'!D:D,A332,'Daftar Transaksi'!F:F))</f>
        <v/>
      </c>
      <c r="F332" s="54" t="str">
        <f t="shared" si="15"/>
        <v/>
      </c>
      <c r="G332" s="54" t="str">
        <f t="shared" si="16"/>
        <v/>
      </c>
      <c r="H332" s="54" t="str">
        <f t="shared" si="17"/>
        <v/>
      </c>
    </row>
    <row r="333" spans="5:8" x14ac:dyDescent="0.25">
      <c r="E333" s="54" t="str">
        <f>IF(A333="","",SUMIF('Daftar Transaksi'!D:D,A333,'Daftar Transaksi'!F:F))</f>
        <v/>
      </c>
      <c r="F333" s="54" t="str">
        <f t="shared" si="15"/>
        <v/>
      </c>
      <c r="G333" s="54" t="str">
        <f t="shared" si="16"/>
        <v/>
      </c>
      <c r="H333" s="54" t="str">
        <f t="shared" si="17"/>
        <v/>
      </c>
    </row>
    <row r="334" spans="5:8" x14ac:dyDescent="0.25">
      <c r="E334" s="54" t="str">
        <f>IF(A334="","",SUMIF('Daftar Transaksi'!D:D,A334,'Daftar Transaksi'!F:F))</f>
        <v/>
      </c>
      <c r="F334" s="54" t="str">
        <f t="shared" si="15"/>
        <v/>
      </c>
      <c r="G334" s="54" t="str">
        <f t="shared" si="16"/>
        <v/>
      </c>
      <c r="H334" s="54" t="str">
        <f t="shared" si="17"/>
        <v/>
      </c>
    </row>
    <row r="335" spans="5:8" x14ac:dyDescent="0.25">
      <c r="E335" s="54" t="str">
        <f>IF(A335="","",SUMIF('Daftar Transaksi'!D:D,A335,'Daftar Transaksi'!F:F))</f>
        <v/>
      </c>
      <c r="F335" s="54" t="str">
        <f t="shared" si="15"/>
        <v/>
      </c>
      <c r="G335" s="54" t="str">
        <f t="shared" si="16"/>
        <v/>
      </c>
      <c r="H335" s="54" t="str">
        <f t="shared" si="17"/>
        <v/>
      </c>
    </row>
    <row r="336" spans="5:8" x14ac:dyDescent="0.25">
      <c r="E336" s="54" t="str">
        <f>IF(A336="","",SUMIF('Daftar Transaksi'!D:D,A336,'Daftar Transaksi'!F:F))</f>
        <v/>
      </c>
      <c r="F336" s="54" t="str">
        <f t="shared" si="15"/>
        <v/>
      </c>
      <c r="G336" s="54" t="str">
        <f t="shared" si="16"/>
        <v/>
      </c>
      <c r="H336" s="54" t="str">
        <f t="shared" si="17"/>
        <v/>
      </c>
    </row>
    <row r="337" spans="5:8" x14ac:dyDescent="0.25">
      <c r="E337" s="54" t="str">
        <f>IF(A337="","",SUMIF('Daftar Transaksi'!D:D,A337,'Daftar Transaksi'!F:F))</f>
        <v/>
      </c>
      <c r="F337" s="54" t="str">
        <f t="shared" si="15"/>
        <v/>
      </c>
      <c r="G337" s="54" t="str">
        <f t="shared" si="16"/>
        <v/>
      </c>
      <c r="H337" s="54" t="str">
        <f t="shared" si="17"/>
        <v/>
      </c>
    </row>
    <row r="338" spans="5:8" x14ac:dyDescent="0.25">
      <c r="E338" s="54" t="str">
        <f>IF(A338="","",SUMIF('Daftar Transaksi'!D:D,A338,'Daftar Transaksi'!F:F))</f>
        <v/>
      </c>
      <c r="F338" s="54" t="str">
        <f t="shared" si="15"/>
        <v/>
      </c>
      <c r="G338" s="54" t="str">
        <f t="shared" si="16"/>
        <v/>
      </c>
      <c r="H338" s="54" t="str">
        <f t="shared" si="17"/>
        <v/>
      </c>
    </row>
    <row r="339" spans="5:8" x14ac:dyDescent="0.25">
      <c r="E339" s="54" t="str">
        <f>IF(A339="","",SUMIF('Daftar Transaksi'!D:D,A339,'Daftar Transaksi'!F:F))</f>
        <v/>
      </c>
      <c r="F339" s="54" t="str">
        <f t="shared" si="15"/>
        <v/>
      </c>
      <c r="G339" s="54" t="str">
        <f t="shared" si="16"/>
        <v/>
      </c>
      <c r="H339" s="54" t="str">
        <f t="shared" si="17"/>
        <v/>
      </c>
    </row>
    <row r="340" spans="5:8" x14ac:dyDescent="0.25">
      <c r="E340" s="54" t="str">
        <f>IF(A340="","",SUMIF('Daftar Transaksi'!D:D,A340,'Daftar Transaksi'!F:F))</f>
        <v/>
      </c>
      <c r="F340" s="54" t="str">
        <f t="shared" si="15"/>
        <v/>
      </c>
      <c r="G340" s="54" t="str">
        <f t="shared" si="16"/>
        <v/>
      </c>
      <c r="H340" s="54" t="str">
        <f t="shared" si="17"/>
        <v/>
      </c>
    </row>
    <row r="341" spans="5:8" x14ac:dyDescent="0.25">
      <c r="E341" s="54" t="str">
        <f>IF(A341="","",SUMIF('Daftar Transaksi'!D:D,A341,'Daftar Transaksi'!F:F))</f>
        <v/>
      </c>
      <c r="F341" s="54" t="str">
        <f t="shared" si="15"/>
        <v/>
      </c>
      <c r="G341" s="54" t="str">
        <f t="shared" si="16"/>
        <v/>
      </c>
      <c r="H341" s="54" t="str">
        <f t="shared" si="17"/>
        <v/>
      </c>
    </row>
    <row r="342" spans="5:8" x14ac:dyDescent="0.25">
      <c r="E342" s="54" t="str">
        <f>IF(A342="","",SUMIF('Daftar Transaksi'!D:D,A342,'Daftar Transaksi'!F:F))</f>
        <v/>
      </c>
      <c r="F342" s="54" t="str">
        <f t="shared" si="15"/>
        <v/>
      </c>
      <c r="G342" s="54" t="str">
        <f t="shared" si="16"/>
        <v/>
      </c>
      <c r="H342" s="54" t="str">
        <f t="shared" si="17"/>
        <v/>
      </c>
    </row>
    <row r="343" spans="5:8" x14ac:dyDescent="0.25">
      <c r="E343" s="54" t="str">
        <f>IF(A343="","",SUMIF('Daftar Transaksi'!D:D,A343,'Daftar Transaksi'!F:F))</f>
        <v/>
      </c>
      <c r="F343" s="54" t="str">
        <f t="shared" si="15"/>
        <v/>
      </c>
      <c r="G343" s="54" t="str">
        <f t="shared" si="16"/>
        <v/>
      </c>
      <c r="H343" s="54" t="str">
        <f t="shared" si="17"/>
        <v/>
      </c>
    </row>
    <row r="344" spans="5:8" x14ac:dyDescent="0.25">
      <c r="E344" s="54" t="str">
        <f>IF(A344="","",SUMIF('Daftar Transaksi'!D:D,A344,'Daftar Transaksi'!F:F))</f>
        <v/>
      </c>
      <c r="F344" s="54" t="str">
        <f t="shared" si="15"/>
        <v/>
      </c>
      <c r="G344" s="54" t="str">
        <f t="shared" si="16"/>
        <v/>
      </c>
      <c r="H344" s="54" t="str">
        <f t="shared" si="17"/>
        <v/>
      </c>
    </row>
    <row r="345" spans="5:8" x14ac:dyDescent="0.25">
      <c r="E345" s="54" t="str">
        <f>IF(A345="","",SUMIF('Daftar Transaksi'!D:D,A345,'Daftar Transaksi'!F:F))</f>
        <v/>
      </c>
      <c r="F345" s="54" t="str">
        <f t="shared" si="15"/>
        <v/>
      </c>
      <c r="G345" s="54" t="str">
        <f t="shared" si="16"/>
        <v/>
      </c>
      <c r="H345" s="54" t="str">
        <f t="shared" si="17"/>
        <v/>
      </c>
    </row>
    <row r="346" spans="5:8" x14ac:dyDescent="0.25">
      <c r="E346" s="54" t="str">
        <f>IF(A346="","",SUMIF('Daftar Transaksi'!D:D,A346,'Daftar Transaksi'!F:F))</f>
        <v/>
      </c>
      <c r="F346" s="54" t="str">
        <f t="shared" si="15"/>
        <v/>
      </c>
      <c r="G346" s="54" t="str">
        <f t="shared" si="16"/>
        <v/>
      </c>
      <c r="H346" s="54" t="str">
        <f t="shared" si="17"/>
        <v/>
      </c>
    </row>
    <row r="347" spans="5:8" x14ac:dyDescent="0.25">
      <c r="E347" s="54" t="str">
        <f>IF(A347="","",SUMIF('Daftar Transaksi'!D:D,A347,'Daftar Transaksi'!F:F))</f>
        <v/>
      </c>
      <c r="F347" s="54" t="str">
        <f t="shared" si="15"/>
        <v/>
      </c>
      <c r="G347" s="54" t="str">
        <f t="shared" si="16"/>
        <v/>
      </c>
      <c r="H347" s="54" t="str">
        <f t="shared" si="17"/>
        <v/>
      </c>
    </row>
    <row r="348" spans="5:8" x14ac:dyDescent="0.25">
      <c r="E348" s="54" t="str">
        <f>IF(A348="","",SUMIF('Daftar Transaksi'!D:D,A348,'Daftar Transaksi'!F:F))</f>
        <v/>
      </c>
      <c r="F348" s="54" t="str">
        <f t="shared" si="15"/>
        <v/>
      </c>
      <c r="G348" s="54" t="str">
        <f t="shared" si="16"/>
        <v/>
      </c>
      <c r="H348" s="54" t="str">
        <f t="shared" si="17"/>
        <v/>
      </c>
    </row>
    <row r="349" spans="5:8" x14ac:dyDescent="0.25">
      <c r="E349" s="54" t="str">
        <f>IF(A349="","",SUMIF('Daftar Transaksi'!D:D,A349,'Daftar Transaksi'!F:F))</f>
        <v/>
      </c>
      <c r="F349" s="54" t="str">
        <f t="shared" si="15"/>
        <v/>
      </c>
      <c r="G349" s="54" t="str">
        <f t="shared" si="16"/>
        <v/>
      </c>
      <c r="H349" s="54" t="str">
        <f t="shared" si="17"/>
        <v/>
      </c>
    </row>
    <row r="350" spans="5:8" x14ac:dyDescent="0.25">
      <c r="E350" s="54" t="str">
        <f>IF(A350="","",SUMIF('Daftar Transaksi'!D:D,A350,'Daftar Transaksi'!F:F))</f>
        <v/>
      </c>
      <c r="F350" s="54" t="str">
        <f t="shared" si="15"/>
        <v/>
      </c>
      <c r="G350" s="54" t="str">
        <f t="shared" si="16"/>
        <v/>
      </c>
      <c r="H350" s="54" t="str">
        <f t="shared" si="17"/>
        <v/>
      </c>
    </row>
    <row r="351" spans="5:8" x14ac:dyDescent="0.25">
      <c r="E351" s="54" t="str">
        <f>IF(A351="","",SUMIF('Daftar Transaksi'!D:D,A351,'Daftar Transaksi'!F:F))</f>
        <v/>
      </c>
      <c r="F351" s="54" t="str">
        <f t="shared" si="15"/>
        <v/>
      </c>
      <c r="G351" s="54" t="str">
        <f t="shared" si="16"/>
        <v/>
      </c>
      <c r="H351" s="54" t="str">
        <f t="shared" si="17"/>
        <v/>
      </c>
    </row>
    <row r="352" spans="5:8" x14ac:dyDescent="0.25">
      <c r="E352" s="54" t="str">
        <f>IF(A352="","",SUMIF('Daftar Transaksi'!D:D,A352,'Daftar Transaksi'!F:F))</f>
        <v/>
      </c>
      <c r="F352" s="54" t="str">
        <f t="shared" si="15"/>
        <v/>
      </c>
      <c r="G352" s="54" t="str">
        <f t="shared" si="16"/>
        <v/>
      </c>
      <c r="H352" s="54" t="str">
        <f t="shared" si="17"/>
        <v/>
      </c>
    </row>
    <row r="353" spans="5:8" x14ac:dyDescent="0.25">
      <c r="E353" s="54" t="str">
        <f>IF(A353="","",SUMIF('Daftar Transaksi'!D:D,A353,'Daftar Transaksi'!F:F))</f>
        <v/>
      </c>
      <c r="F353" s="54" t="str">
        <f t="shared" si="15"/>
        <v/>
      </c>
      <c r="G353" s="54" t="str">
        <f t="shared" si="16"/>
        <v/>
      </c>
      <c r="H353" s="54" t="str">
        <f t="shared" si="17"/>
        <v/>
      </c>
    </row>
    <row r="354" spans="5:8" x14ac:dyDescent="0.25">
      <c r="E354" s="54" t="str">
        <f>IF(A354="","",SUMIF('Daftar Transaksi'!D:D,A354,'Daftar Transaksi'!F:F))</f>
        <v/>
      </c>
      <c r="F354" s="54" t="str">
        <f t="shared" si="15"/>
        <v/>
      </c>
      <c r="G354" s="54" t="str">
        <f t="shared" si="16"/>
        <v/>
      </c>
      <c r="H354" s="54" t="str">
        <f t="shared" si="17"/>
        <v/>
      </c>
    </row>
    <row r="355" spans="5:8" x14ac:dyDescent="0.25">
      <c r="E355" s="54" t="str">
        <f>IF(A355="","",SUMIF('Daftar Transaksi'!D:D,A355,'Daftar Transaksi'!F:F))</f>
        <v/>
      </c>
      <c r="F355" s="54" t="str">
        <f t="shared" si="15"/>
        <v/>
      </c>
      <c r="G355" s="54" t="str">
        <f t="shared" si="16"/>
        <v/>
      </c>
      <c r="H355" s="54" t="str">
        <f t="shared" si="17"/>
        <v/>
      </c>
    </row>
    <row r="356" spans="5:8" x14ac:dyDescent="0.25">
      <c r="E356" s="54" t="str">
        <f>IF(A356="","",SUMIF('Daftar Transaksi'!D:D,A356,'Daftar Transaksi'!F:F))</f>
        <v/>
      </c>
      <c r="F356" s="54" t="str">
        <f t="shared" si="15"/>
        <v/>
      </c>
      <c r="G356" s="54" t="str">
        <f t="shared" si="16"/>
        <v/>
      </c>
      <c r="H356" s="54" t="str">
        <f t="shared" si="17"/>
        <v/>
      </c>
    </row>
    <row r="357" spans="5:8" x14ac:dyDescent="0.25">
      <c r="E357" s="54" t="str">
        <f>IF(A357="","",SUMIF('Daftar Transaksi'!D:D,A357,'Daftar Transaksi'!F:F))</f>
        <v/>
      </c>
      <c r="F357" s="54" t="str">
        <f t="shared" si="15"/>
        <v/>
      </c>
      <c r="G357" s="54" t="str">
        <f t="shared" si="16"/>
        <v/>
      </c>
      <c r="H357" s="54" t="str">
        <f t="shared" si="17"/>
        <v/>
      </c>
    </row>
    <row r="358" spans="5:8" x14ac:dyDescent="0.25">
      <c r="E358" s="54" t="str">
        <f>IF(A358="","",SUMIF('Daftar Transaksi'!D:D,A358,'Daftar Transaksi'!F:F))</f>
        <v/>
      </c>
      <c r="F358" s="54" t="str">
        <f t="shared" si="15"/>
        <v/>
      </c>
      <c r="G358" s="54" t="str">
        <f t="shared" si="16"/>
        <v/>
      </c>
      <c r="H358" s="54" t="str">
        <f t="shared" si="17"/>
        <v/>
      </c>
    </row>
    <row r="359" spans="5:8" x14ac:dyDescent="0.25">
      <c r="E359" s="54" t="str">
        <f>IF(A359="","",SUMIF('Daftar Transaksi'!D:D,A359,'Daftar Transaksi'!F:F))</f>
        <v/>
      </c>
      <c r="F359" s="54" t="str">
        <f t="shared" si="15"/>
        <v/>
      </c>
      <c r="G359" s="54" t="str">
        <f t="shared" si="16"/>
        <v/>
      </c>
      <c r="H359" s="54" t="str">
        <f t="shared" si="17"/>
        <v/>
      </c>
    </row>
    <row r="360" spans="5:8" x14ac:dyDescent="0.25">
      <c r="E360" s="54" t="str">
        <f>IF(A360="","",SUMIF('Daftar Transaksi'!D:D,A360,'Daftar Transaksi'!F:F))</f>
        <v/>
      </c>
      <c r="F360" s="54" t="str">
        <f t="shared" si="15"/>
        <v/>
      </c>
      <c r="G360" s="54" t="str">
        <f t="shared" si="16"/>
        <v/>
      </c>
      <c r="H360" s="54" t="str">
        <f t="shared" si="17"/>
        <v/>
      </c>
    </row>
    <row r="361" spans="5:8" x14ac:dyDescent="0.25">
      <c r="E361" s="54" t="str">
        <f>IF(A361="","",SUMIF('Daftar Transaksi'!D:D,A361,'Daftar Transaksi'!F:F))</f>
        <v/>
      </c>
      <c r="F361" s="54" t="str">
        <f t="shared" si="15"/>
        <v/>
      </c>
      <c r="G361" s="54" t="str">
        <f t="shared" si="16"/>
        <v/>
      </c>
      <c r="H361" s="54" t="str">
        <f t="shared" si="17"/>
        <v/>
      </c>
    </row>
    <row r="362" spans="5:8" x14ac:dyDescent="0.25">
      <c r="E362" s="54" t="str">
        <f>IF(A362="","",SUMIF('Daftar Transaksi'!D:D,A362,'Daftar Transaksi'!F:F))</f>
        <v/>
      </c>
      <c r="F362" s="54" t="str">
        <f t="shared" si="15"/>
        <v/>
      </c>
      <c r="G362" s="54" t="str">
        <f t="shared" si="16"/>
        <v/>
      </c>
      <c r="H362" s="54" t="str">
        <f t="shared" si="17"/>
        <v/>
      </c>
    </row>
    <row r="363" spans="5:8" x14ac:dyDescent="0.25">
      <c r="E363" s="54" t="str">
        <f>IF(A363="","",SUMIF('Daftar Transaksi'!D:D,A363,'Daftar Transaksi'!F:F))</f>
        <v/>
      </c>
      <c r="F363" s="54" t="str">
        <f t="shared" si="15"/>
        <v/>
      </c>
      <c r="G363" s="54" t="str">
        <f t="shared" si="16"/>
        <v/>
      </c>
      <c r="H363" s="54" t="str">
        <f t="shared" si="17"/>
        <v/>
      </c>
    </row>
    <row r="364" spans="5:8" x14ac:dyDescent="0.25">
      <c r="E364" s="54" t="str">
        <f>IF(A364="","",SUMIF('Daftar Transaksi'!D:D,A364,'Daftar Transaksi'!F:F))</f>
        <v/>
      </c>
      <c r="F364" s="54" t="str">
        <f t="shared" si="15"/>
        <v/>
      </c>
      <c r="G364" s="54" t="str">
        <f t="shared" si="16"/>
        <v/>
      </c>
      <c r="H364" s="54" t="str">
        <f t="shared" si="17"/>
        <v/>
      </c>
    </row>
    <row r="365" spans="5:8" x14ac:dyDescent="0.25">
      <c r="E365" s="54" t="str">
        <f>IF(A365="","",SUMIF('Daftar Transaksi'!D:D,A365,'Daftar Transaksi'!F:F))</f>
        <v/>
      </c>
      <c r="F365" s="54" t="str">
        <f t="shared" si="15"/>
        <v/>
      </c>
      <c r="G365" s="54" t="str">
        <f t="shared" si="16"/>
        <v/>
      </c>
      <c r="H365" s="54" t="str">
        <f t="shared" si="17"/>
        <v/>
      </c>
    </row>
    <row r="366" spans="5:8" x14ac:dyDescent="0.25">
      <c r="E366" s="54" t="str">
        <f>IF(A366="","",SUMIF('Daftar Transaksi'!D:D,A366,'Daftar Transaksi'!F:F))</f>
        <v/>
      </c>
      <c r="F366" s="54" t="str">
        <f t="shared" si="15"/>
        <v/>
      </c>
      <c r="G366" s="54" t="str">
        <f t="shared" si="16"/>
        <v/>
      </c>
      <c r="H366" s="54" t="str">
        <f t="shared" si="17"/>
        <v/>
      </c>
    </row>
    <row r="367" spans="5:8" x14ac:dyDescent="0.25">
      <c r="E367" s="54" t="str">
        <f>IF(A367="","",SUMIF('Daftar Transaksi'!D:D,A367,'Daftar Transaksi'!F:F))</f>
        <v/>
      </c>
      <c r="F367" s="54" t="str">
        <f t="shared" si="15"/>
        <v/>
      </c>
      <c r="G367" s="54" t="str">
        <f t="shared" si="16"/>
        <v/>
      </c>
      <c r="H367" s="54" t="str">
        <f t="shared" si="17"/>
        <v/>
      </c>
    </row>
    <row r="368" spans="5:8" x14ac:dyDescent="0.25">
      <c r="E368" s="54" t="str">
        <f>IF(A368="","",SUMIF('Daftar Transaksi'!D:D,A368,'Daftar Transaksi'!F:F))</f>
        <v/>
      </c>
      <c r="F368" s="54" t="str">
        <f t="shared" si="15"/>
        <v/>
      </c>
      <c r="G368" s="54" t="str">
        <f t="shared" si="16"/>
        <v/>
      </c>
      <c r="H368" s="54" t="str">
        <f t="shared" si="17"/>
        <v/>
      </c>
    </row>
    <row r="369" spans="5:8" x14ac:dyDescent="0.25">
      <c r="E369" s="54" t="str">
        <f>IF(A369="","",SUMIF('Daftar Transaksi'!D:D,A369,'Daftar Transaksi'!F:F))</f>
        <v/>
      </c>
      <c r="F369" s="54" t="str">
        <f t="shared" si="15"/>
        <v/>
      </c>
      <c r="G369" s="54" t="str">
        <f t="shared" si="16"/>
        <v/>
      </c>
      <c r="H369" s="54" t="str">
        <f t="shared" si="17"/>
        <v/>
      </c>
    </row>
    <row r="370" spans="5:8" x14ac:dyDescent="0.25">
      <c r="E370" s="54" t="str">
        <f>IF(A370="","",SUMIF('Daftar Transaksi'!D:D,A370,'Daftar Transaksi'!F:F))</f>
        <v/>
      </c>
      <c r="F370" s="54" t="str">
        <f t="shared" si="15"/>
        <v/>
      </c>
      <c r="G370" s="54" t="str">
        <f t="shared" si="16"/>
        <v/>
      </c>
      <c r="H370" s="54" t="str">
        <f t="shared" si="17"/>
        <v/>
      </c>
    </row>
    <row r="371" spans="5:8" x14ac:dyDescent="0.25">
      <c r="E371" s="54" t="str">
        <f>IF(A371="","",SUMIF('Daftar Transaksi'!D:D,A371,'Daftar Transaksi'!F:F))</f>
        <v/>
      </c>
      <c r="F371" s="54" t="str">
        <f t="shared" si="15"/>
        <v/>
      </c>
      <c r="G371" s="54" t="str">
        <f t="shared" si="16"/>
        <v/>
      </c>
      <c r="H371" s="54" t="str">
        <f t="shared" si="17"/>
        <v/>
      </c>
    </row>
    <row r="372" spans="5:8" x14ac:dyDescent="0.25">
      <c r="E372" s="54" t="str">
        <f>IF(A372="","",SUMIF('Daftar Transaksi'!D:D,A372,'Daftar Transaksi'!F:F))</f>
        <v/>
      </c>
      <c r="F372" s="54" t="str">
        <f t="shared" si="15"/>
        <v/>
      </c>
      <c r="G372" s="54" t="str">
        <f t="shared" si="16"/>
        <v/>
      </c>
      <c r="H372" s="54" t="str">
        <f t="shared" si="17"/>
        <v/>
      </c>
    </row>
    <row r="373" spans="5:8" x14ac:dyDescent="0.25">
      <c r="E373" s="54" t="str">
        <f>IF(A373="","",SUMIF('Daftar Transaksi'!D:D,A373,'Daftar Transaksi'!F:F))</f>
        <v/>
      </c>
      <c r="F373" s="54" t="str">
        <f t="shared" si="15"/>
        <v/>
      </c>
      <c r="G373" s="54" t="str">
        <f t="shared" si="16"/>
        <v/>
      </c>
      <c r="H373" s="54" t="str">
        <f t="shared" si="17"/>
        <v/>
      </c>
    </row>
    <row r="374" spans="5:8" x14ac:dyDescent="0.25">
      <c r="E374" s="54" t="str">
        <f>IF(A374="","",SUMIF('Daftar Transaksi'!D:D,A374,'Daftar Transaksi'!F:F))</f>
        <v/>
      </c>
      <c r="F374" s="54" t="str">
        <f t="shared" si="15"/>
        <v/>
      </c>
      <c r="G374" s="54" t="str">
        <f t="shared" si="16"/>
        <v/>
      </c>
      <c r="H374" s="54" t="str">
        <f t="shared" si="17"/>
        <v/>
      </c>
    </row>
    <row r="375" spans="5:8" x14ac:dyDescent="0.25">
      <c r="E375" s="54" t="str">
        <f>IF(A375="","",SUMIF('Daftar Transaksi'!D:D,A375,'Daftar Transaksi'!F:F))</f>
        <v/>
      </c>
      <c r="F375" s="54" t="str">
        <f t="shared" si="15"/>
        <v/>
      </c>
      <c r="G375" s="54" t="str">
        <f t="shared" si="16"/>
        <v/>
      </c>
      <c r="H375" s="54" t="str">
        <f t="shared" si="17"/>
        <v/>
      </c>
    </row>
    <row r="376" spans="5:8" x14ac:dyDescent="0.25">
      <c r="E376" s="54" t="str">
        <f>IF(A376="","",SUMIF('Daftar Transaksi'!D:D,A376,'Daftar Transaksi'!F:F))</f>
        <v/>
      </c>
      <c r="F376" s="54" t="str">
        <f t="shared" si="15"/>
        <v/>
      </c>
      <c r="G376" s="54" t="str">
        <f t="shared" si="16"/>
        <v/>
      </c>
      <c r="H376" s="54" t="str">
        <f t="shared" si="17"/>
        <v/>
      </c>
    </row>
    <row r="377" spans="5:8" x14ac:dyDescent="0.25">
      <c r="E377" s="54" t="str">
        <f>IF(A377="","",SUMIF('Daftar Transaksi'!D:D,A377,'Daftar Transaksi'!F:F))</f>
        <v/>
      </c>
      <c r="F377" s="54" t="str">
        <f t="shared" si="15"/>
        <v/>
      </c>
      <c r="G377" s="54" t="str">
        <f t="shared" si="16"/>
        <v/>
      </c>
      <c r="H377" s="54" t="str">
        <f t="shared" si="17"/>
        <v/>
      </c>
    </row>
    <row r="378" spans="5:8" x14ac:dyDescent="0.25">
      <c r="E378" s="54" t="str">
        <f>IF(A378="","",SUMIF('Daftar Transaksi'!D:D,A378,'Daftar Transaksi'!F:F))</f>
        <v/>
      </c>
      <c r="F378" s="54" t="str">
        <f t="shared" si="15"/>
        <v/>
      </c>
      <c r="G378" s="54" t="str">
        <f t="shared" si="16"/>
        <v/>
      </c>
      <c r="H378" s="54" t="str">
        <f t="shared" si="17"/>
        <v/>
      </c>
    </row>
    <row r="379" spans="5:8" x14ac:dyDescent="0.25">
      <c r="E379" s="54" t="str">
        <f>IF(A379="","",SUMIF('Daftar Transaksi'!D:D,A379,'Daftar Transaksi'!F:F))</f>
        <v/>
      </c>
      <c r="F379" s="54" t="str">
        <f t="shared" si="15"/>
        <v/>
      </c>
      <c r="G379" s="54" t="str">
        <f t="shared" si="16"/>
        <v/>
      </c>
      <c r="H379" s="54" t="str">
        <f t="shared" si="17"/>
        <v/>
      </c>
    </row>
    <row r="380" spans="5:8" x14ac:dyDescent="0.25">
      <c r="E380" s="54" t="str">
        <f>IF(A380="","",SUMIF('Daftar Transaksi'!D:D,A380,'Daftar Transaksi'!F:F))</f>
        <v/>
      </c>
      <c r="F380" s="54" t="str">
        <f t="shared" si="15"/>
        <v/>
      </c>
      <c r="G380" s="54" t="str">
        <f t="shared" si="16"/>
        <v/>
      </c>
      <c r="H380" s="54" t="str">
        <f t="shared" si="17"/>
        <v/>
      </c>
    </row>
    <row r="381" spans="5:8" x14ac:dyDescent="0.25">
      <c r="E381" s="54" t="str">
        <f>IF(A381="","",SUMIF('Daftar Transaksi'!D:D,A381,'Daftar Transaksi'!F:F))</f>
        <v/>
      </c>
      <c r="F381" s="54" t="str">
        <f t="shared" si="15"/>
        <v/>
      </c>
      <c r="G381" s="54" t="str">
        <f t="shared" si="16"/>
        <v/>
      </c>
      <c r="H381" s="54" t="str">
        <f t="shared" si="17"/>
        <v/>
      </c>
    </row>
    <row r="382" spans="5:8" x14ac:dyDescent="0.25">
      <c r="E382" s="54" t="str">
        <f>IF(A382="","",SUMIF('Daftar Transaksi'!D:D,A382,'Daftar Transaksi'!F:F))</f>
        <v/>
      </c>
      <c r="F382" s="54" t="str">
        <f t="shared" si="15"/>
        <v/>
      </c>
      <c r="G382" s="54" t="str">
        <f t="shared" si="16"/>
        <v/>
      </c>
      <c r="H382" s="54" t="str">
        <f t="shared" si="17"/>
        <v/>
      </c>
    </row>
    <row r="383" spans="5:8" x14ac:dyDescent="0.25">
      <c r="E383" s="54" t="str">
        <f>IF(A383="","",SUMIF('Daftar Transaksi'!D:D,A383,'Daftar Transaksi'!F:F))</f>
        <v/>
      </c>
      <c r="F383" s="54" t="str">
        <f t="shared" ref="F383:F446" si="18">IF(A383="","",D383-E383)</f>
        <v/>
      </c>
      <c r="G383" s="54" t="str">
        <f t="shared" ref="G383:G446" si="19">IF(A383="","",C383*E383)</f>
        <v/>
      </c>
      <c r="H383" s="54" t="str">
        <f t="shared" ref="H383:H446" si="20">IF(A383="","",G383-(B383*E383))</f>
        <v/>
      </c>
    </row>
    <row r="384" spans="5:8" x14ac:dyDescent="0.25">
      <c r="E384" s="54" t="str">
        <f>IF(A384="","",SUMIF('Daftar Transaksi'!D:D,A384,'Daftar Transaksi'!F:F))</f>
        <v/>
      </c>
      <c r="F384" s="54" t="str">
        <f t="shared" si="18"/>
        <v/>
      </c>
      <c r="G384" s="54" t="str">
        <f t="shared" si="19"/>
        <v/>
      </c>
      <c r="H384" s="54" t="str">
        <f t="shared" si="20"/>
        <v/>
      </c>
    </row>
    <row r="385" spans="5:8" x14ac:dyDescent="0.25">
      <c r="E385" s="54" t="str">
        <f>IF(A385="","",SUMIF('Daftar Transaksi'!D:D,A385,'Daftar Transaksi'!F:F))</f>
        <v/>
      </c>
      <c r="F385" s="54" t="str">
        <f t="shared" si="18"/>
        <v/>
      </c>
      <c r="G385" s="54" t="str">
        <f t="shared" si="19"/>
        <v/>
      </c>
      <c r="H385" s="54" t="str">
        <f t="shared" si="20"/>
        <v/>
      </c>
    </row>
    <row r="386" spans="5:8" x14ac:dyDescent="0.25">
      <c r="E386" s="54" t="str">
        <f>IF(A386="","",SUMIF('Daftar Transaksi'!D:D,A386,'Daftar Transaksi'!F:F))</f>
        <v/>
      </c>
      <c r="F386" s="54" t="str">
        <f t="shared" si="18"/>
        <v/>
      </c>
      <c r="G386" s="54" t="str">
        <f t="shared" si="19"/>
        <v/>
      </c>
      <c r="H386" s="54" t="str">
        <f t="shared" si="20"/>
        <v/>
      </c>
    </row>
    <row r="387" spans="5:8" x14ac:dyDescent="0.25">
      <c r="E387" s="54" t="str">
        <f>IF(A387="","",SUMIF('Daftar Transaksi'!D:D,A387,'Daftar Transaksi'!F:F))</f>
        <v/>
      </c>
      <c r="F387" s="54" t="str">
        <f t="shared" si="18"/>
        <v/>
      </c>
      <c r="G387" s="54" t="str">
        <f t="shared" si="19"/>
        <v/>
      </c>
      <c r="H387" s="54" t="str">
        <f t="shared" si="20"/>
        <v/>
      </c>
    </row>
    <row r="388" spans="5:8" x14ac:dyDescent="0.25">
      <c r="E388" s="54" t="str">
        <f>IF(A388="","",SUMIF('Daftar Transaksi'!D:D,A388,'Daftar Transaksi'!F:F))</f>
        <v/>
      </c>
      <c r="F388" s="54" t="str">
        <f t="shared" si="18"/>
        <v/>
      </c>
      <c r="G388" s="54" t="str">
        <f t="shared" si="19"/>
        <v/>
      </c>
      <c r="H388" s="54" t="str">
        <f t="shared" si="20"/>
        <v/>
      </c>
    </row>
    <row r="389" spans="5:8" x14ac:dyDescent="0.25">
      <c r="E389" s="54" t="str">
        <f>IF(A389="","",SUMIF('Daftar Transaksi'!D:D,A389,'Daftar Transaksi'!F:F))</f>
        <v/>
      </c>
      <c r="F389" s="54" t="str">
        <f t="shared" si="18"/>
        <v/>
      </c>
      <c r="G389" s="54" t="str">
        <f t="shared" si="19"/>
        <v/>
      </c>
      <c r="H389" s="54" t="str">
        <f t="shared" si="20"/>
        <v/>
      </c>
    </row>
    <row r="390" spans="5:8" x14ac:dyDescent="0.25">
      <c r="E390" s="54" t="str">
        <f>IF(A390="","",SUMIF('Daftar Transaksi'!D:D,A390,'Daftar Transaksi'!F:F))</f>
        <v/>
      </c>
      <c r="F390" s="54" t="str">
        <f t="shared" si="18"/>
        <v/>
      </c>
      <c r="G390" s="54" t="str">
        <f t="shared" si="19"/>
        <v/>
      </c>
      <c r="H390" s="54" t="str">
        <f t="shared" si="20"/>
        <v/>
      </c>
    </row>
    <row r="391" spans="5:8" x14ac:dyDescent="0.25">
      <c r="E391" s="54" t="str">
        <f>IF(A391="","",SUMIF('Daftar Transaksi'!D:D,A391,'Daftar Transaksi'!F:F))</f>
        <v/>
      </c>
      <c r="F391" s="54" t="str">
        <f t="shared" si="18"/>
        <v/>
      </c>
      <c r="G391" s="54" t="str">
        <f t="shared" si="19"/>
        <v/>
      </c>
      <c r="H391" s="54" t="str">
        <f t="shared" si="20"/>
        <v/>
      </c>
    </row>
    <row r="392" spans="5:8" x14ac:dyDescent="0.25">
      <c r="E392" s="54" t="str">
        <f>IF(A392="","",SUMIF('Daftar Transaksi'!D:D,A392,'Daftar Transaksi'!F:F))</f>
        <v/>
      </c>
      <c r="F392" s="54" t="str">
        <f t="shared" si="18"/>
        <v/>
      </c>
      <c r="G392" s="54" t="str">
        <f t="shared" si="19"/>
        <v/>
      </c>
      <c r="H392" s="54" t="str">
        <f t="shared" si="20"/>
        <v/>
      </c>
    </row>
    <row r="393" spans="5:8" x14ac:dyDescent="0.25">
      <c r="E393" s="54" t="str">
        <f>IF(A393="","",SUMIF('Daftar Transaksi'!D:D,A393,'Daftar Transaksi'!F:F))</f>
        <v/>
      </c>
      <c r="F393" s="54" t="str">
        <f t="shared" si="18"/>
        <v/>
      </c>
      <c r="G393" s="54" t="str">
        <f t="shared" si="19"/>
        <v/>
      </c>
      <c r="H393" s="54" t="str">
        <f t="shared" si="20"/>
        <v/>
      </c>
    </row>
    <row r="394" spans="5:8" x14ac:dyDescent="0.25">
      <c r="E394" s="54" t="str">
        <f>IF(A394="","",SUMIF('Daftar Transaksi'!D:D,A394,'Daftar Transaksi'!F:F))</f>
        <v/>
      </c>
      <c r="F394" s="54" t="str">
        <f t="shared" si="18"/>
        <v/>
      </c>
      <c r="G394" s="54" t="str">
        <f t="shared" si="19"/>
        <v/>
      </c>
      <c r="H394" s="54" t="str">
        <f t="shared" si="20"/>
        <v/>
      </c>
    </row>
    <row r="395" spans="5:8" x14ac:dyDescent="0.25">
      <c r="E395" s="54" t="str">
        <f>IF(A395="","",SUMIF('Daftar Transaksi'!D:D,A395,'Daftar Transaksi'!F:F))</f>
        <v/>
      </c>
      <c r="F395" s="54" t="str">
        <f t="shared" si="18"/>
        <v/>
      </c>
      <c r="G395" s="54" t="str">
        <f t="shared" si="19"/>
        <v/>
      </c>
      <c r="H395" s="54" t="str">
        <f t="shared" si="20"/>
        <v/>
      </c>
    </row>
    <row r="396" spans="5:8" x14ac:dyDescent="0.25">
      <c r="E396" s="54" t="str">
        <f>IF(A396="","",SUMIF('Daftar Transaksi'!D:D,A396,'Daftar Transaksi'!F:F))</f>
        <v/>
      </c>
      <c r="F396" s="54" t="str">
        <f t="shared" si="18"/>
        <v/>
      </c>
      <c r="G396" s="54" t="str">
        <f t="shared" si="19"/>
        <v/>
      </c>
      <c r="H396" s="54" t="str">
        <f t="shared" si="20"/>
        <v/>
      </c>
    </row>
    <row r="397" spans="5:8" x14ac:dyDescent="0.25">
      <c r="E397" s="54" t="str">
        <f>IF(A397="","",SUMIF('Daftar Transaksi'!D:D,A397,'Daftar Transaksi'!F:F))</f>
        <v/>
      </c>
      <c r="F397" s="54" t="str">
        <f t="shared" si="18"/>
        <v/>
      </c>
      <c r="G397" s="54" t="str">
        <f t="shared" si="19"/>
        <v/>
      </c>
      <c r="H397" s="54" t="str">
        <f t="shared" si="20"/>
        <v/>
      </c>
    </row>
    <row r="398" spans="5:8" x14ac:dyDescent="0.25">
      <c r="E398" s="54" t="str">
        <f>IF(A398="","",SUMIF('Daftar Transaksi'!D:D,A398,'Daftar Transaksi'!F:F))</f>
        <v/>
      </c>
      <c r="F398" s="54" t="str">
        <f t="shared" si="18"/>
        <v/>
      </c>
      <c r="G398" s="54" t="str">
        <f t="shared" si="19"/>
        <v/>
      </c>
      <c r="H398" s="54" t="str">
        <f t="shared" si="20"/>
        <v/>
      </c>
    </row>
    <row r="399" spans="5:8" x14ac:dyDescent="0.25">
      <c r="E399" s="54" t="str">
        <f>IF(A399="","",SUMIF('Daftar Transaksi'!D:D,A399,'Daftar Transaksi'!F:F))</f>
        <v/>
      </c>
      <c r="F399" s="54" t="str">
        <f t="shared" si="18"/>
        <v/>
      </c>
      <c r="G399" s="54" t="str">
        <f t="shared" si="19"/>
        <v/>
      </c>
      <c r="H399" s="54" t="str">
        <f t="shared" si="20"/>
        <v/>
      </c>
    </row>
    <row r="400" spans="5:8" x14ac:dyDescent="0.25">
      <c r="E400" s="54" t="str">
        <f>IF(A400="","",SUMIF('Daftar Transaksi'!D:D,A400,'Daftar Transaksi'!F:F))</f>
        <v/>
      </c>
      <c r="F400" s="54" t="str">
        <f t="shared" si="18"/>
        <v/>
      </c>
      <c r="G400" s="54" t="str">
        <f t="shared" si="19"/>
        <v/>
      </c>
      <c r="H400" s="54" t="str">
        <f t="shared" si="20"/>
        <v/>
      </c>
    </row>
    <row r="401" spans="5:8" x14ac:dyDescent="0.25">
      <c r="E401" s="54" t="str">
        <f>IF(A401="","",SUMIF('Daftar Transaksi'!D:D,A401,'Daftar Transaksi'!F:F))</f>
        <v/>
      </c>
      <c r="F401" s="54" t="str">
        <f t="shared" si="18"/>
        <v/>
      </c>
      <c r="G401" s="54" t="str">
        <f t="shared" si="19"/>
        <v/>
      </c>
      <c r="H401" s="54" t="str">
        <f t="shared" si="20"/>
        <v/>
      </c>
    </row>
    <row r="402" spans="5:8" x14ac:dyDescent="0.25">
      <c r="E402" s="54" t="str">
        <f>IF(A402="","",SUMIF('Daftar Transaksi'!D:D,A402,'Daftar Transaksi'!F:F))</f>
        <v/>
      </c>
      <c r="F402" s="54" t="str">
        <f t="shared" si="18"/>
        <v/>
      </c>
      <c r="G402" s="54" t="str">
        <f t="shared" si="19"/>
        <v/>
      </c>
      <c r="H402" s="54" t="str">
        <f t="shared" si="20"/>
        <v/>
      </c>
    </row>
    <row r="403" spans="5:8" x14ac:dyDescent="0.25">
      <c r="E403" s="54" t="str">
        <f>IF(A403="","",SUMIF('Daftar Transaksi'!D:D,A403,'Daftar Transaksi'!F:F))</f>
        <v/>
      </c>
      <c r="F403" s="54" t="str">
        <f t="shared" si="18"/>
        <v/>
      </c>
      <c r="G403" s="54" t="str">
        <f t="shared" si="19"/>
        <v/>
      </c>
      <c r="H403" s="54" t="str">
        <f t="shared" si="20"/>
        <v/>
      </c>
    </row>
    <row r="404" spans="5:8" x14ac:dyDescent="0.25">
      <c r="E404" s="54" t="str">
        <f>IF(A404="","",SUMIF('Daftar Transaksi'!D:D,A404,'Daftar Transaksi'!F:F))</f>
        <v/>
      </c>
      <c r="F404" s="54" t="str">
        <f t="shared" si="18"/>
        <v/>
      </c>
      <c r="G404" s="54" t="str">
        <f t="shared" si="19"/>
        <v/>
      </c>
      <c r="H404" s="54" t="str">
        <f t="shared" si="20"/>
        <v/>
      </c>
    </row>
    <row r="405" spans="5:8" x14ac:dyDescent="0.25">
      <c r="E405" s="54" t="str">
        <f>IF(A405="","",SUMIF('Daftar Transaksi'!D:D,A405,'Daftar Transaksi'!F:F))</f>
        <v/>
      </c>
      <c r="F405" s="54" t="str">
        <f t="shared" si="18"/>
        <v/>
      </c>
      <c r="G405" s="54" t="str">
        <f t="shared" si="19"/>
        <v/>
      </c>
      <c r="H405" s="54" t="str">
        <f t="shared" si="20"/>
        <v/>
      </c>
    </row>
    <row r="406" spans="5:8" x14ac:dyDescent="0.25">
      <c r="E406" s="54" t="str">
        <f>IF(A406="","",SUMIF('Daftar Transaksi'!D:D,A406,'Daftar Transaksi'!F:F))</f>
        <v/>
      </c>
      <c r="F406" s="54" t="str">
        <f t="shared" si="18"/>
        <v/>
      </c>
      <c r="G406" s="54" t="str">
        <f t="shared" si="19"/>
        <v/>
      </c>
      <c r="H406" s="54" t="str">
        <f t="shared" si="20"/>
        <v/>
      </c>
    </row>
    <row r="407" spans="5:8" x14ac:dyDescent="0.25">
      <c r="E407" s="54" t="str">
        <f>IF(A407="","",SUMIF('Daftar Transaksi'!D:D,A407,'Daftar Transaksi'!F:F))</f>
        <v/>
      </c>
      <c r="F407" s="54" t="str">
        <f t="shared" si="18"/>
        <v/>
      </c>
      <c r="G407" s="54" t="str">
        <f t="shared" si="19"/>
        <v/>
      </c>
      <c r="H407" s="54" t="str">
        <f t="shared" si="20"/>
        <v/>
      </c>
    </row>
    <row r="408" spans="5:8" x14ac:dyDescent="0.25">
      <c r="E408" s="54" t="str">
        <f>IF(A408="","",SUMIF('Daftar Transaksi'!D:D,A408,'Daftar Transaksi'!F:F))</f>
        <v/>
      </c>
      <c r="F408" s="54" t="str">
        <f t="shared" si="18"/>
        <v/>
      </c>
      <c r="G408" s="54" t="str">
        <f t="shared" si="19"/>
        <v/>
      </c>
      <c r="H408" s="54" t="str">
        <f t="shared" si="20"/>
        <v/>
      </c>
    </row>
    <row r="409" spans="5:8" x14ac:dyDescent="0.25">
      <c r="E409" s="54" t="str">
        <f>IF(A409="","",SUMIF('Daftar Transaksi'!D:D,A409,'Daftar Transaksi'!F:F))</f>
        <v/>
      </c>
      <c r="F409" s="54" t="str">
        <f t="shared" si="18"/>
        <v/>
      </c>
      <c r="G409" s="54" t="str">
        <f t="shared" si="19"/>
        <v/>
      </c>
      <c r="H409" s="54" t="str">
        <f t="shared" si="20"/>
        <v/>
      </c>
    </row>
    <row r="410" spans="5:8" x14ac:dyDescent="0.25">
      <c r="E410" s="54" t="str">
        <f>IF(A410="","",SUMIF('Daftar Transaksi'!D:D,A410,'Daftar Transaksi'!F:F))</f>
        <v/>
      </c>
      <c r="F410" s="54" t="str">
        <f t="shared" si="18"/>
        <v/>
      </c>
      <c r="G410" s="54" t="str">
        <f t="shared" si="19"/>
        <v/>
      </c>
      <c r="H410" s="54" t="str">
        <f t="shared" si="20"/>
        <v/>
      </c>
    </row>
    <row r="411" spans="5:8" x14ac:dyDescent="0.25">
      <c r="E411" s="54" t="str">
        <f>IF(A411="","",SUMIF('Daftar Transaksi'!D:D,A411,'Daftar Transaksi'!F:F))</f>
        <v/>
      </c>
      <c r="F411" s="54" t="str">
        <f t="shared" si="18"/>
        <v/>
      </c>
      <c r="G411" s="54" t="str">
        <f t="shared" si="19"/>
        <v/>
      </c>
      <c r="H411" s="54" t="str">
        <f t="shared" si="20"/>
        <v/>
      </c>
    </row>
    <row r="412" spans="5:8" x14ac:dyDescent="0.25">
      <c r="E412" s="54" t="str">
        <f>IF(A412="","",SUMIF('Daftar Transaksi'!D:D,A412,'Daftar Transaksi'!F:F))</f>
        <v/>
      </c>
      <c r="F412" s="54" t="str">
        <f t="shared" si="18"/>
        <v/>
      </c>
      <c r="G412" s="54" t="str">
        <f t="shared" si="19"/>
        <v/>
      </c>
      <c r="H412" s="54" t="str">
        <f t="shared" si="20"/>
        <v/>
      </c>
    </row>
    <row r="413" spans="5:8" x14ac:dyDescent="0.25">
      <c r="E413" s="54" t="str">
        <f>IF(A413="","",SUMIF('Daftar Transaksi'!D:D,A413,'Daftar Transaksi'!F:F))</f>
        <v/>
      </c>
      <c r="F413" s="54" t="str">
        <f t="shared" si="18"/>
        <v/>
      </c>
      <c r="G413" s="54" t="str">
        <f t="shared" si="19"/>
        <v/>
      </c>
      <c r="H413" s="54" t="str">
        <f t="shared" si="20"/>
        <v/>
      </c>
    </row>
    <row r="414" spans="5:8" x14ac:dyDescent="0.25">
      <c r="E414" s="54" t="str">
        <f>IF(A414="","",SUMIF('Daftar Transaksi'!D:D,A414,'Daftar Transaksi'!F:F))</f>
        <v/>
      </c>
      <c r="F414" s="54" t="str">
        <f t="shared" si="18"/>
        <v/>
      </c>
      <c r="G414" s="54" t="str">
        <f t="shared" si="19"/>
        <v/>
      </c>
      <c r="H414" s="54" t="str">
        <f t="shared" si="20"/>
        <v/>
      </c>
    </row>
    <row r="415" spans="5:8" x14ac:dyDescent="0.25">
      <c r="E415" s="54" t="str">
        <f>IF(A415="","",SUMIF('Daftar Transaksi'!D:D,A415,'Daftar Transaksi'!F:F))</f>
        <v/>
      </c>
      <c r="F415" s="54" t="str">
        <f t="shared" si="18"/>
        <v/>
      </c>
      <c r="G415" s="54" t="str">
        <f t="shared" si="19"/>
        <v/>
      </c>
      <c r="H415" s="54" t="str">
        <f t="shared" si="20"/>
        <v/>
      </c>
    </row>
    <row r="416" spans="5:8" x14ac:dyDescent="0.25">
      <c r="E416" s="54" t="str">
        <f>IF(A416="","",SUMIF('Daftar Transaksi'!D:D,A416,'Daftar Transaksi'!F:F))</f>
        <v/>
      </c>
      <c r="F416" s="54" t="str">
        <f t="shared" si="18"/>
        <v/>
      </c>
      <c r="G416" s="54" t="str">
        <f t="shared" si="19"/>
        <v/>
      </c>
      <c r="H416" s="54" t="str">
        <f t="shared" si="20"/>
        <v/>
      </c>
    </row>
    <row r="417" spans="5:8" x14ac:dyDescent="0.25">
      <c r="E417" s="54" t="str">
        <f>IF(A417="","",SUMIF('Daftar Transaksi'!D:D,A417,'Daftar Transaksi'!F:F))</f>
        <v/>
      </c>
      <c r="F417" s="54" t="str">
        <f t="shared" si="18"/>
        <v/>
      </c>
      <c r="G417" s="54" t="str">
        <f t="shared" si="19"/>
        <v/>
      </c>
      <c r="H417" s="54" t="str">
        <f t="shared" si="20"/>
        <v/>
      </c>
    </row>
    <row r="418" spans="5:8" x14ac:dyDescent="0.25">
      <c r="E418" s="54" t="str">
        <f>IF(A418="","",SUMIF('Daftar Transaksi'!D:D,A418,'Daftar Transaksi'!F:F))</f>
        <v/>
      </c>
      <c r="F418" s="54" t="str">
        <f t="shared" si="18"/>
        <v/>
      </c>
      <c r="G418" s="54" t="str">
        <f t="shared" si="19"/>
        <v/>
      </c>
      <c r="H418" s="54" t="str">
        <f t="shared" si="20"/>
        <v/>
      </c>
    </row>
    <row r="419" spans="5:8" x14ac:dyDescent="0.25">
      <c r="E419" s="54" t="str">
        <f>IF(A419="","",SUMIF('Daftar Transaksi'!D:D,A419,'Daftar Transaksi'!F:F))</f>
        <v/>
      </c>
      <c r="F419" s="54" t="str">
        <f t="shared" si="18"/>
        <v/>
      </c>
      <c r="G419" s="54" t="str">
        <f t="shared" si="19"/>
        <v/>
      </c>
      <c r="H419" s="54" t="str">
        <f t="shared" si="20"/>
        <v/>
      </c>
    </row>
    <row r="420" spans="5:8" x14ac:dyDescent="0.25">
      <c r="E420" s="54" t="str">
        <f>IF(A420="","",SUMIF('Daftar Transaksi'!D:D,A420,'Daftar Transaksi'!F:F))</f>
        <v/>
      </c>
      <c r="F420" s="54" t="str">
        <f t="shared" si="18"/>
        <v/>
      </c>
      <c r="G420" s="54" t="str">
        <f t="shared" si="19"/>
        <v/>
      </c>
      <c r="H420" s="54" t="str">
        <f t="shared" si="20"/>
        <v/>
      </c>
    </row>
    <row r="421" spans="5:8" x14ac:dyDescent="0.25">
      <c r="E421" s="54" t="str">
        <f>IF(A421="","",SUMIF('Daftar Transaksi'!D:D,A421,'Daftar Transaksi'!F:F))</f>
        <v/>
      </c>
      <c r="F421" s="54" t="str">
        <f t="shared" si="18"/>
        <v/>
      </c>
      <c r="G421" s="54" t="str">
        <f t="shared" si="19"/>
        <v/>
      </c>
      <c r="H421" s="54" t="str">
        <f t="shared" si="20"/>
        <v/>
      </c>
    </row>
    <row r="422" spans="5:8" x14ac:dyDescent="0.25">
      <c r="E422" s="54" t="str">
        <f>IF(A422="","",SUMIF('Daftar Transaksi'!D:D,A422,'Daftar Transaksi'!F:F))</f>
        <v/>
      </c>
      <c r="F422" s="54" t="str">
        <f t="shared" si="18"/>
        <v/>
      </c>
      <c r="G422" s="54" t="str">
        <f t="shared" si="19"/>
        <v/>
      </c>
      <c r="H422" s="54" t="str">
        <f t="shared" si="20"/>
        <v/>
      </c>
    </row>
    <row r="423" spans="5:8" x14ac:dyDescent="0.25">
      <c r="E423" s="54" t="str">
        <f>IF(A423="","",SUMIF('Daftar Transaksi'!D:D,A423,'Daftar Transaksi'!F:F))</f>
        <v/>
      </c>
      <c r="F423" s="54" t="str">
        <f t="shared" si="18"/>
        <v/>
      </c>
      <c r="G423" s="54" t="str">
        <f t="shared" si="19"/>
        <v/>
      </c>
      <c r="H423" s="54" t="str">
        <f t="shared" si="20"/>
        <v/>
      </c>
    </row>
    <row r="424" spans="5:8" x14ac:dyDescent="0.25">
      <c r="E424" s="54" t="str">
        <f>IF(A424="","",SUMIF('Daftar Transaksi'!D:D,A424,'Daftar Transaksi'!F:F))</f>
        <v/>
      </c>
      <c r="F424" s="54" t="str">
        <f t="shared" si="18"/>
        <v/>
      </c>
      <c r="G424" s="54" t="str">
        <f t="shared" si="19"/>
        <v/>
      </c>
      <c r="H424" s="54" t="str">
        <f t="shared" si="20"/>
        <v/>
      </c>
    </row>
    <row r="425" spans="5:8" x14ac:dyDescent="0.25">
      <c r="E425" s="54" t="str">
        <f>IF(A425="","",SUMIF('Daftar Transaksi'!D:D,A425,'Daftar Transaksi'!F:F))</f>
        <v/>
      </c>
      <c r="F425" s="54" t="str">
        <f t="shared" si="18"/>
        <v/>
      </c>
      <c r="G425" s="54" t="str">
        <f t="shared" si="19"/>
        <v/>
      </c>
      <c r="H425" s="54" t="str">
        <f t="shared" si="20"/>
        <v/>
      </c>
    </row>
    <row r="426" spans="5:8" x14ac:dyDescent="0.25">
      <c r="E426" s="54" t="str">
        <f>IF(A426="","",SUMIF('Daftar Transaksi'!D:D,A426,'Daftar Transaksi'!F:F))</f>
        <v/>
      </c>
      <c r="F426" s="54" t="str">
        <f t="shared" si="18"/>
        <v/>
      </c>
      <c r="G426" s="54" t="str">
        <f t="shared" si="19"/>
        <v/>
      </c>
      <c r="H426" s="54" t="str">
        <f t="shared" si="20"/>
        <v/>
      </c>
    </row>
    <row r="427" spans="5:8" x14ac:dyDescent="0.25">
      <c r="E427" s="54" t="str">
        <f>IF(A427="","",SUMIF('Daftar Transaksi'!D:D,A427,'Daftar Transaksi'!F:F))</f>
        <v/>
      </c>
      <c r="F427" s="54" t="str">
        <f t="shared" si="18"/>
        <v/>
      </c>
      <c r="G427" s="54" t="str">
        <f t="shared" si="19"/>
        <v/>
      </c>
      <c r="H427" s="54" t="str">
        <f t="shared" si="20"/>
        <v/>
      </c>
    </row>
    <row r="428" spans="5:8" x14ac:dyDescent="0.25">
      <c r="E428" s="54" t="str">
        <f>IF(A428="","",SUMIF('Daftar Transaksi'!D:D,A428,'Daftar Transaksi'!F:F))</f>
        <v/>
      </c>
      <c r="F428" s="54" t="str">
        <f t="shared" si="18"/>
        <v/>
      </c>
      <c r="G428" s="54" t="str">
        <f t="shared" si="19"/>
        <v/>
      </c>
      <c r="H428" s="54" t="str">
        <f t="shared" si="20"/>
        <v/>
      </c>
    </row>
    <row r="429" spans="5:8" x14ac:dyDescent="0.25">
      <c r="E429" s="54" t="str">
        <f>IF(A429="","",SUMIF('Daftar Transaksi'!D:D,A429,'Daftar Transaksi'!F:F))</f>
        <v/>
      </c>
      <c r="F429" s="54" t="str">
        <f t="shared" si="18"/>
        <v/>
      </c>
      <c r="G429" s="54" t="str">
        <f t="shared" si="19"/>
        <v/>
      </c>
      <c r="H429" s="54" t="str">
        <f t="shared" si="20"/>
        <v/>
      </c>
    </row>
    <row r="430" spans="5:8" x14ac:dyDescent="0.25">
      <c r="E430" s="54" t="str">
        <f>IF(A430="","",SUMIF('Daftar Transaksi'!D:D,A430,'Daftar Transaksi'!F:F))</f>
        <v/>
      </c>
      <c r="F430" s="54" t="str">
        <f t="shared" si="18"/>
        <v/>
      </c>
      <c r="G430" s="54" t="str">
        <f t="shared" si="19"/>
        <v/>
      </c>
      <c r="H430" s="54" t="str">
        <f t="shared" si="20"/>
        <v/>
      </c>
    </row>
    <row r="431" spans="5:8" x14ac:dyDescent="0.25">
      <c r="E431" s="54" t="str">
        <f>IF(A431="","",SUMIF('Daftar Transaksi'!D:D,A431,'Daftar Transaksi'!F:F))</f>
        <v/>
      </c>
      <c r="F431" s="54" t="str">
        <f t="shared" si="18"/>
        <v/>
      </c>
      <c r="G431" s="54" t="str">
        <f t="shared" si="19"/>
        <v/>
      </c>
      <c r="H431" s="54" t="str">
        <f t="shared" si="20"/>
        <v/>
      </c>
    </row>
    <row r="432" spans="5:8" x14ac:dyDescent="0.25">
      <c r="E432" s="54" t="str">
        <f>IF(A432="","",SUMIF('Daftar Transaksi'!D:D,A432,'Daftar Transaksi'!F:F))</f>
        <v/>
      </c>
      <c r="F432" s="54" t="str">
        <f t="shared" si="18"/>
        <v/>
      </c>
      <c r="G432" s="54" t="str">
        <f t="shared" si="19"/>
        <v/>
      </c>
      <c r="H432" s="54" t="str">
        <f t="shared" si="20"/>
        <v/>
      </c>
    </row>
    <row r="433" spans="5:8" x14ac:dyDescent="0.25">
      <c r="E433" s="54" t="str">
        <f>IF(A433="","",SUMIF('Daftar Transaksi'!D:D,A433,'Daftar Transaksi'!F:F))</f>
        <v/>
      </c>
      <c r="F433" s="54" t="str">
        <f t="shared" si="18"/>
        <v/>
      </c>
      <c r="G433" s="54" t="str">
        <f t="shared" si="19"/>
        <v/>
      </c>
      <c r="H433" s="54" t="str">
        <f t="shared" si="20"/>
        <v/>
      </c>
    </row>
    <row r="434" spans="5:8" x14ac:dyDescent="0.25">
      <c r="E434" s="54" t="str">
        <f>IF(A434="","",SUMIF('Daftar Transaksi'!D:D,A434,'Daftar Transaksi'!F:F))</f>
        <v/>
      </c>
      <c r="F434" s="54" t="str">
        <f t="shared" si="18"/>
        <v/>
      </c>
      <c r="G434" s="54" t="str">
        <f t="shared" si="19"/>
        <v/>
      </c>
      <c r="H434" s="54" t="str">
        <f t="shared" si="20"/>
        <v/>
      </c>
    </row>
    <row r="435" spans="5:8" x14ac:dyDescent="0.25">
      <c r="E435" s="54" t="str">
        <f>IF(A435="","",SUMIF('Daftar Transaksi'!D:D,A435,'Daftar Transaksi'!F:F))</f>
        <v/>
      </c>
      <c r="F435" s="54" t="str">
        <f t="shared" si="18"/>
        <v/>
      </c>
      <c r="G435" s="54" t="str">
        <f t="shared" si="19"/>
        <v/>
      </c>
      <c r="H435" s="54" t="str">
        <f t="shared" si="20"/>
        <v/>
      </c>
    </row>
    <row r="436" spans="5:8" x14ac:dyDescent="0.25">
      <c r="E436" s="54" t="str">
        <f>IF(A436="","",SUMIF('Daftar Transaksi'!D:D,A436,'Daftar Transaksi'!F:F))</f>
        <v/>
      </c>
      <c r="F436" s="54" t="str">
        <f t="shared" si="18"/>
        <v/>
      </c>
      <c r="G436" s="54" t="str">
        <f t="shared" si="19"/>
        <v/>
      </c>
      <c r="H436" s="54" t="str">
        <f t="shared" si="20"/>
        <v/>
      </c>
    </row>
    <row r="437" spans="5:8" x14ac:dyDescent="0.25">
      <c r="E437" s="54" t="str">
        <f>IF(A437="","",SUMIF('Daftar Transaksi'!D:D,A437,'Daftar Transaksi'!F:F))</f>
        <v/>
      </c>
      <c r="F437" s="54" t="str">
        <f t="shared" si="18"/>
        <v/>
      </c>
      <c r="G437" s="54" t="str">
        <f t="shared" si="19"/>
        <v/>
      </c>
      <c r="H437" s="54" t="str">
        <f t="shared" si="20"/>
        <v/>
      </c>
    </row>
    <row r="438" spans="5:8" x14ac:dyDescent="0.25">
      <c r="E438" s="54" t="str">
        <f>IF(A438="","",SUMIF('Daftar Transaksi'!D:D,A438,'Daftar Transaksi'!F:F))</f>
        <v/>
      </c>
      <c r="F438" s="54" t="str">
        <f t="shared" si="18"/>
        <v/>
      </c>
      <c r="G438" s="54" t="str">
        <f t="shared" si="19"/>
        <v/>
      </c>
      <c r="H438" s="54" t="str">
        <f t="shared" si="20"/>
        <v/>
      </c>
    </row>
    <row r="439" spans="5:8" x14ac:dyDescent="0.25">
      <c r="E439" s="54" t="str">
        <f>IF(A439="","",SUMIF('Daftar Transaksi'!D:D,A439,'Daftar Transaksi'!F:F))</f>
        <v/>
      </c>
      <c r="F439" s="54" t="str">
        <f t="shared" si="18"/>
        <v/>
      </c>
      <c r="G439" s="54" t="str">
        <f t="shared" si="19"/>
        <v/>
      </c>
      <c r="H439" s="54" t="str">
        <f t="shared" si="20"/>
        <v/>
      </c>
    </row>
    <row r="440" spans="5:8" x14ac:dyDescent="0.25">
      <c r="E440" s="54" t="str">
        <f>IF(A440="","",SUMIF('Daftar Transaksi'!D:D,A440,'Daftar Transaksi'!F:F))</f>
        <v/>
      </c>
      <c r="F440" s="54" t="str">
        <f t="shared" si="18"/>
        <v/>
      </c>
      <c r="G440" s="54" t="str">
        <f t="shared" si="19"/>
        <v/>
      </c>
      <c r="H440" s="54" t="str">
        <f t="shared" si="20"/>
        <v/>
      </c>
    </row>
    <row r="441" spans="5:8" x14ac:dyDescent="0.25">
      <c r="E441" s="54" t="str">
        <f>IF(A441="","",SUMIF('Daftar Transaksi'!D:D,A441,'Daftar Transaksi'!F:F))</f>
        <v/>
      </c>
      <c r="F441" s="54" t="str">
        <f t="shared" si="18"/>
        <v/>
      </c>
      <c r="G441" s="54" t="str">
        <f t="shared" si="19"/>
        <v/>
      </c>
      <c r="H441" s="54" t="str">
        <f t="shared" si="20"/>
        <v/>
      </c>
    </row>
    <row r="442" spans="5:8" x14ac:dyDescent="0.25">
      <c r="E442" s="54" t="str">
        <f>IF(A442="","",SUMIF('Daftar Transaksi'!D:D,A442,'Daftar Transaksi'!F:F))</f>
        <v/>
      </c>
      <c r="F442" s="54" t="str">
        <f t="shared" si="18"/>
        <v/>
      </c>
      <c r="G442" s="54" t="str">
        <f t="shared" si="19"/>
        <v/>
      </c>
      <c r="H442" s="54" t="str">
        <f t="shared" si="20"/>
        <v/>
      </c>
    </row>
    <row r="443" spans="5:8" x14ac:dyDescent="0.25">
      <c r="E443" s="54" t="str">
        <f>IF(A443="","",SUMIF('Daftar Transaksi'!D:D,A443,'Daftar Transaksi'!F:F))</f>
        <v/>
      </c>
      <c r="F443" s="54" t="str">
        <f t="shared" si="18"/>
        <v/>
      </c>
      <c r="G443" s="54" t="str">
        <f t="shared" si="19"/>
        <v/>
      </c>
      <c r="H443" s="54" t="str">
        <f t="shared" si="20"/>
        <v/>
      </c>
    </row>
    <row r="444" spans="5:8" x14ac:dyDescent="0.25">
      <c r="E444" s="54" t="str">
        <f>IF(A444="","",SUMIF('Daftar Transaksi'!D:D,A444,'Daftar Transaksi'!F:F))</f>
        <v/>
      </c>
      <c r="F444" s="54" t="str">
        <f t="shared" si="18"/>
        <v/>
      </c>
      <c r="G444" s="54" t="str">
        <f t="shared" si="19"/>
        <v/>
      </c>
      <c r="H444" s="54" t="str">
        <f t="shared" si="20"/>
        <v/>
      </c>
    </row>
    <row r="445" spans="5:8" x14ac:dyDescent="0.25">
      <c r="E445" s="54" t="str">
        <f>IF(A445="","",SUMIF('Daftar Transaksi'!D:D,A445,'Daftar Transaksi'!F:F))</f>
        <v/>
      </c>
      <c r="F445" s="54" t="str">
        <f t="shared" si="18"/>
        <v/>
      </c>
      <c r="G445" s="54" t="str">
        <f t="shared" si="19"/>
        <v/>
      </c>
      <c r="H445" s="54" t="str">
        <f t="shared" si="20"/>
        <v/>
      </c>
    </row>
    <row r="446" spans="5:8" x14ac:dyDescent="0.25">
      <c r="E446" s="54" t="str">
        <f>IF(A446="","",SUMIF('Daftar Transaksi'!D:D,A446,'Daftar Transaksi'!F:F))</f>
        <v/>
      </c>
      <c r="F446" s="54" t="str">
        <f t="shared" si="18"/>
        <v/>
      </c>
      <c r="G446" s="54" t="str">
        <f t="shared" si="19"/>
        <v/>
      </c>
      <c r="H446" s="54" t="str">
        <f t="shared" si="20"/>
        <v/>
      </c>
    </row>
    <row r="447" spans="5:8" x14ac:dyDescent="0.25">
      <c r="E447" s="54" t="str">
        <f>IF(A447="","",SUMIF('Daftar Transaksi'!D:D,A447,'Daftar Transaksi'!F:F))</f>
        <v/>
      </c>
      <c r="F447" s="54" t="str">
        <f t="shared" ref="F447:F510" si="21">IF(A447="","",D447-E447)</f>
        <v/>
      </c>
      <c r="G447" s="54" t="str">
        <f t="shared" ref="G447:G510" si="22">IF(A447="","",C447*E447)</f>
        <v/>
      </c>
      <c r="H447" s="54" t="str">
        <f t="shared" ref="H447:H510" si="23">IF(A447="","",G447-(B447*E447))</f>
        <v/>
      </c>
    </row>
    <row r="448" spans="5:8" x14ac:dyDescent="0.25">
      <c r="E448" s="54" t="str">
        <f>IF(A448="","",SUMIF('Daftar Transaksi'!D:D,A448,'Daftar Transaksi'!F:F))</f>
        <v/>
      </c>
      <c r="F448" s="54" t="str">
        <f t="shared" si="21"/>
        <v/>
      </c>
      <c r="G448" s="54" t="str">
        <f t="shared" si="22"/>
        <v/>
      </c>
      <c r="H448" s="54" t="str">
        <f t="shared" si="23"/>
        <v/>
      </c>
    </row>
    <row r="449" spans="5:8" x14ac:dyDescent="0.25">
      <c r="E449" s="54" t="str">
        <f>IF(A449="","",SUMIF('Daftar Transaksi'!D:D,A449,'Daftar Transaksi'!F:F))</f>
        <v/>
      </c>
      <c r="F449" s="54" t="str">
        <f t="shared" si="21"/>
        <v/>
      </c>
      <c r="G449" s="54" t="str">
        <f t="shared" si="22"/>
        <v/>
      </c>
      <c r="H449" s="54" t="str">
        <f t="shared" si="23"/>
        <v/>
      </c>
    </row>
    <row r="450" spans="5:8" x14ac:dyDescent="0.25">
      <c r="E450" s="54" t="str">
        <f>IF(A450="","",SUMIF('Daftar Transaksi'!D:D,A450,'Daftar Transaksi'!F:F))</f>
        <v/>
      </c>
      <c r="F450" s="54" t="str">
        <f t="shared" si="21"/>
        <v/>
      </c>
      <c r="G450" s="54" t="str">
        <f t="shared" si="22"/>
        <v/>
      </c>
      <c r="H450" s="54" t="str">
        <f t="shared" si="23"/>
        <v/>
      </c>
    </row>
    <row r="451" spans="5:8" x14ac:dyDescent="0.25">
      <c r="E451" s="54" t="str">
        <f>IF(A451="","",SUMIF('Daftar Transaksi'!D:D,A451,'Daftar Transaksi'!F:F))</f>
        <v/>
      </c>
      <c r="F451" s="54" t="str">
        <f t="shared" si="21"/>
        <v/>
      </c>
      <c r="G451" s="54" t="str">
        <f t="shared" si="22"/>
        <v/>
      </c>
      <c r="H451" s="54" t="str">
        <f t="shared" si="23"/>
        <v/>
      </c>
    </row>
    <row r="452" spans="5:8" x14ac:dyDescent="0.25">
      <c r="E452" s="54" t="str">
        <f>IF(A452="","",SUMIF('Daftar Transaksi'!D:D,A452,'Daftar Transaksi'!F:F))</f>
        <v/>
      </c>
      <c r="F452" s="54" t="str">
        <f t="shared" si="21"/>
        <v/>
      </c>
      <c r="G452" s="54" t="str">
        <f t="shared" si="22"/>
        <v/>
      </c>
      <c r="H452" s="54" t="str">
        <f t="shared" si="23"/>
        <v/>
      </c>
    </row>
    <row r="453" spans="5:8" x14ac:dyDescent="0.25">
      <c r="E453" s="54" t="str">
        <f>IF(A453="","",SUMIF('Daftar Transaksi'!D:D,A453,'Daftar Transaksi'!F:F))</f>
        <v/>
      </c>
      <c r="F453" s="54" t="str">
        <f t="shared" si="21"/>
        <v/>
      </c>
      <c r="G453" s="54" t="str">
        <f t="shared" si="22"/>
        <v/>
      </c>
      <c r="H453" s="54" t="str">
        <f t="shared" si="23"/>
        <v/>
      </c>
    </row>
    <row r="454" spans="5:8" x14ac:dyDescent="0.25">
      <c r="E454" s="54" t="str">
        <f>IF(A454="","",SUMIF('Daftar Transaksi'!D:D,A454,'Daftar Transaksi'!F:F))</f>
        <v/>
      </c>
      <c r="F454" s="54" t="str">
        <f t="shared" si="21"/>
        <v/>
      </c>
      <c r="G454" s="54" t="str">
        <f t="shared" si="22"/>
        <v/>
      </c>
      <c r="H454" s="54" t="str">
        <f t="shared" si="23"/>
        <v/>
      </c>
    </row>
    <row r="455" spans="5:8" x14ac:dyDescent="0.25">
      <c r="E455" s="54" t="str">
        <f>IF(A455="","",SUMIF('Daftar Transaksi'!D:D,A455,'Daftar Transaksi'!F:F))</f>
        <v/>
      </c>
      <c r="F455" s="54" t="str">
        <f t="shared" si="21"/>
        <v/>
      </c>
      <c r="G455" s="54" t="str">
        <f t="shared" si="22"/>
        <v/>
      </c>
      <c r="H455" s="54" t="str">
        <f t="shared" si="23"/>
        <v/>
      </c>
    </row>
    <row r="456" spans="5:8" x14ac:dyDescent="0.25">
      <c r="E456" s="54" t="str">
        <f>IF(A456="","",SUMIF('Daftar Transaksi'!D:D,A456,'Daftar Transaksi'!F:F))</f>
        <v/>
      </c>
      <c r="F456" s="54" t="str">
        <f t="shared" si="21"/>
        <v/>
      </c>
      <c r="G456" s="54" t="str">
        <f t="shared" si="22"/>
        <v/>
      </c>
      <c r="H456" s="54" t="str">
        <f t="shared" si="23"/>
        <v/>
      </c>
    </row>
    <row r="457" spans="5:8" x14ac:dyDescent="0.25">
      <c r="E457" s="54" t="str">
        <f>IF(A457="","",SUMIF('Daftar Transaksi'!D:D,A457,'Daftar Transaksi'!F:F))</f>
        <v/>
      </c>
      <c r="F457" s="54" t="str">
        <f t="shared" si="21"/>
        <v/>
      </c>
      <c r="G457" s="54" t="str">
        <f t="shared" si="22"/>
        <v/>
      </c>
      <c r="H457" s="54" t="str">
        <f t="shared" si="23"/>
        <v/>
      </c>
    </row>
    <row r="458" spans="5:8" x14ac:dyDescent="0.25">
      <c r="E458" s="54" t="str">
        <f>IF(A458="","",SUMIF('Daftar Transaksi'!D:D,A458,'Daftar Transaksi'!F:F))</f>
        <v/>
      </c>
      <c r="F458" s="54" t="str">
        <f t="shared" si="21"/>
        <v/>
      </c>
      <c r="G458" s="54" t="str">
        <f t="shared" si="22"/>
        <v/>
      </c>
      <c r="H458" s="54" t="str">
        <f t="shared" si="23"/>
        <v/>
      </c>
    </row>
    <row r="459" spans="5:8" x14ac:dyDescent="0.25">
      <c r="E459" s="54" t="str">
        <f>IF(A459="","",SUMIF('Daftar Transaksi'!D:D,A459,'Daftar Transaksi'!F:F))</f>
        <v/>
      </c>
      <c r="F459" s="54" t="str">
        <f t="shared" si="21"/>
        <v/>
      </c>
      <c r="G459" s="54" t="str">
        <f t="shared" si="22"/>
        <v/>
      </c>
      <c r="H459" s="54" t="str">
        <f t="shared" si="23"/>
        <v/>
      </c>
    </row>
    <row r="460" spans="5:8" x14ac:dyDescent="0.25">
      <c r="E460" s="54" t="str">
        <f>IF(A460="","",SUMIF('Daftar Transaksi'!D:D,A460,'Daftar Transaksi'!F:F))</f>
        <v/>
      </c>
      <c r="F460" s="54" t="str">
        <f t="shared" si="21"/>
        <v/>
      </c>
      <c r="G460" s="54" t="str">
        <f t="shared" si="22"/>
        <v/>
      </c>
      <c r="H460" s="54" t="str">
        <f t="shared" si="23"/>
        <v/>
      </c>
    </row>
    <row r="461" spans="5:8" x14ac:dyDescent="0.25">
      <c r="E461" s="54" t="str">
        <f>IF(A461="","",SUMIF('Daftar Transaksi'!D:D,A461,'Daftar Transaksi'!F:F))</f>
        <v/>
      </c>
      <c r="F461" s="54" t="str">
        <f t="shared" si="21"/>
        <v/>
      </c>
      <c r="G461" s="54" t="str">
        <f t="shared" si="22"/>
        <v/>
      </c>
      <c r="H461" s="54" t="str">
        <f t="shared" si="23"/>
        <v/>
      </c>
    </row>
    <row r="462" spans="5:8" x14ac:dyDescent="0.25">
      <c r="E462" s="54" t="str">
        <f>IF(A462="","",SUMIF('Daftar Transaksi'!D:D,A462,'Daftar Transaksi'!F:F))</f>
        <v/>
      </c>
      <c r="F462" s="54" t="str">
        <f t="shared" si="21"/>
        <v/>
      </c>
      <c r="G462" s="54" t="str">
        <f t="shared" si="22"/>
        <v/>
      </c>
      <c r="H462" s="54" t="str">
        <f t="shared" si="23"/>
        <v/>
      </c>
    </row>
    <row r="463" spans="5:8" x14ac:dyDescent="0.25">
      <c r="E463" s="54" t="str">
        <f>IF(A463="","",SUMIF('Daftar Transaksi'!D:D,A463,'Daftar Transaksi'!F:F))</f>
        <v/>
      </c>
      <c r="F463" s="54" t="str">
        <f t="shared" si="21"/>
        <v/>
      </c>
      <c r="G463" s="54" t="str">
        <f t="shared" si="22"/>
        <v/>
      </c>
      <c r="H463" s="54" t="str">
        <f t="shared" si="23"/>
        <v/>
      </c>
    </row>
    <row r="464" spans="5:8" x14ac:dyDescent="0.25">
      <c r="E464" s="54" t="str">
        <f>IF(A464="","",SUMIF('Daftar Transaksi'!D:D,A464,'Daftar Transaksi'!F:F))</f>
        <v/>
      </c>
      <c r="F464" s="54" t="str">
        <f t="shared" si="21"/>
        <v/>
      </c>
      <c r="G464" s="54" t="str">
        <f t="shared" si="22"/>
        <v/>
      </c>
      <c r="H464" s="54" t="str">
        <f t="shared" si="23"/>
        <v/>
      </c>
    </row>
    <row r="465" spans="5:8" x14ac:dyDescent="0.25">
      <c r="E465" s="54" t="str">
        <f>IF(A465="","",SUMIF('Daftar Transaksi'!D:D,A465,'Daftar Transaksi'!F:F))</f>
        <v/>
      </c>
      <c r="F465" s="54" t="str">
        <f t="shared" si="21"/>
        <v/>
      </c>
      <c r="G465" s="54" t="str">
        <f t="shared" si="22"/>
        <v/>
      </c>
      <c r="H465" s="54" t="str">
        <f t="shared" si="23"/>
        <v/>
      </c>
    </row>
    <row r="466" spans="5:8" x14ac:dyDescent="0.25">
      <c r="E466" s="54" t="str">
        <f>IF(A466="","",SUMIF('Daftar Transaksi'!D:D,A466,'Daftar Transaksi'!F:F))</f>
        <v/>
      </c>
      <c r="F466" s="54" t="str">
        <f t="shared" si="21"/>
        <v/>
      </c>
      <c r="G466" s="54" t="str">
        <f t="shared" si="22"/>
        <v/>
      </c>
      <c r="H466" s="54" t="str">
        <f t="shared" si="23"/>
        <v/>
      </c>
    </row>
    <row r="467" spans="5:8" x14ac:dyDescent="0.25">
      <c r="E467" s="54" t="str">
        <f>IF(A467="","",SUMIF('Daftar Transaksi'!D:D,A467,'Daftar Transaksi'!F:F))</f>
        <v/>
      </c>
      <c r="F467" s="54" t="str">
        <f t="shared" si="21"/>
        <v/>
      </c>
      <c r="G467" s="54" t="str">
        <f t="shared" si="22"/>
        <v/>
      </c>
      <c r="H467" s="54" t="str">
        <f t="shared" si="23"/>
        <v/>
      </c>
    </row>
    <row r="468" spans="5:8" x14ac:dyDescent="0.25">
      <c r="E468" s="54" t="str">
        <f>IF(A468="","",SUMIF('Daftar Transaksi'!D:D,A468,'Daftar Transaksi'!F:F))</f>
        <v/>
      </c>
      <c r="F468" s="54" t="str">
        <f t="shared" si="21"/>
        <v/>
      </c>
      <c r="G468" s="54" t="str">
        <f t="shared" si="22"/>
        <v/>
      </c>
      <c r="H468" s="54" t="str">
        <f t="shared" si="23"/>
        <v/>
      </c>
    </row>
    <row r="469" spans="5:8" x14ac:dyDescent="0.25">
      <c r="E469" s="54" t="str">
        <f>IF(A469="","",SUMIF('Daftar Transaksi'!D:D,A469,'Daftar Transaksi'!F:F))</f>
        <v/>
      </c>
      <c r="F469" s="54" t="str">
        <f t="shared" si="21"/>
        <v/>
      </c>
      <c r="G469" s="54" t="str">
        <f t="shared" si="22"/>
        <v/>
      </c>
      <c r="H469" s="54" t="str">
        <f t="shared" si="23"/>
        <v/>
      </c>
    </row>
    <row r="470" spans="5:8" x14ac:dyDescent="0.25">
      <c r="E470" s="54" t="str">
        <f>IF(A470="","",SUMIF('Daftar Transaksi'!D:D,A470,'Daftar Transaksi'!F:F))</f>
        <v/>
      </c>
      <c r="F470" s="54" t="str">
        <f t="shared" si="21"/>
        <v/>
      </c>
      <c r="G470" s="54" t="str">
        <f t="shared" si="22"/>
        <v/>
      </c>
      <c r="H470" s="54" t="str">
        <f t="shared" si="23"/>
        <v/>
      </c>
    </row>
    <row r="471" spans="5:8" x14ac:dyDescent="0.25">
      <c r="E471" s="54" t="str">
        <f>IF(A471="","",SUMIF('Daftar Transaksi'!D:D,A471,'Daftar Transaksi'!F:F))</f>
        <v/>
      </c>
      <c r="F471" s="54" t="str">
        <f t="shared" si="21"/>
        <v/>
      </c>
      <c r="G471" s="54" t="str">
        <f t="shared" si="22"/>
        <v/>
      </c>
      <c r="H471" s="54" t="str">
        <f t="shared" si="23"/>
        <v/>
      </c>
    </row>
    <row r="472" spans="5:8" x14ac:dyDescent="0.25">
      <c r="E472" s="54" t="str">
        <f>IF(A472="","",SUMIF('Daftar Transaksi'!D:D,A472,'Daftar Transaksi'!F:F))</f>
        <v/>
      </c>
      <c r="F472" s="54" t="str">
        <f t="shared" si="21"/>
        <v/>
      </c>
      <c r="G472" s="54" t="str">
        <f t="shared" si="22"/>
        <v/>
      </c>
      <c r="H472" s="54" t="str">
        <f t="shared" si="23"/>
        <v/>
      </c>
    </row>
    <row r="473" spans="5:8" x14ac:dyDescent="0.25">
      <c r="E473" s="54" t="str">
        <f>IF(A473="","",SUMIF('Daftar Transaksi'!D:D,A473,'Daftar Transaksi'!F:F))</f>
        <v/>
      </c>
      <c r="F473" s="54" t="str">
        <f t="shared" si="21"/>
        <v/>
      </c>
      <c r="G473" s="54" t="str">
        <f t="shared" si="22"/>
        <v/>
      </c>
      <c r="H473" s="54" t="str">
        <f t="shared" si="23"/>
        <v/>
      </c>
    </row>
    <row r="474" spans="5:8" x14ac:dyDescent="0.25">
      <c r="E474" s="54" t="str">
        <f>IF(A474="","",SUMIF('Daftar Transaksi'!D:D,A474,'Daftar Transaksi'!F:F))</f>
        <v/>
      </c>
      <c r="F474" s="54" t="str">
        <f t="shared" si="21"/>
        <v/>
      </c>
      <c r="G474" s="54" t="str">
        <f t="shared" si="22"/>
        <v/>
      </c>
      <c r="H474" s="54" t="str">
        <f t="shared" si="23"/>
        <v/>
      </c>
    </row>
    <row r="475" spans="5:8" x14ac:dyDescent="0.25">
      <c r="E475" s="54" t="str">
        <f>IF(A475="","",SUMIF('Daftar Transaksi'!D:D,A475,'Daftar Transaksi'!F:F))</f>
        <v/>
      </c>
      <c r="F475" s="54" t="str">
        <f t="shared" si="21"/>
        <v/>
      </c>
      <c r="G475" s="54" t="str">
        <f t="shared" si="22"/>
        <v/>
      </c>
      <c r="H475" s="54" t="str">
        <f t="shared" si="23"/>
        <v/>
      </c>
    </row>
    <row r="476" spans="5:8" x14ac:dyDescent="0.25">
      <c r="E476" s="54" t="str">
        <f>IF(A476="","",SUMIF('Daftar Transaksi'!D:D,A476,'Daftar Transaksi'!F:F))</f>
        <v/>
      </c>
      <c r="F476" s="54" t="str">
        <f t="shared" si="21"/>
        <v/>
      </c>
      <c r="G476" s="54" t="str">
        <f t="shared" si="22"/>
        <v/>
      </c>
      <c r="H476" s="54" t="str">
        <f t="shared" si="23"/>
        <v/>
      </c>
    </row>
    <row r="477" spans="5:8" x14ac:dyDescent="0.25">
      <c r="E477" s="54" t="str">
        <f>IF(A477="","",SUMIF('Daftar Transaksi'!D:D,A477,'Daftar Transaksi'!F:F))</f>
        <v/>
      </c>
      <c r="F477" s="54" t="str">
        <f t="shared" si="21"/>
        <v/>
      </c>
      <c r="G477" s="54" t="str">
        <f t="shared" si="22"/>
        <v/>
      </c>
      <c r="H477" s="54" t="str">
        <f t="shared" si="23"/>
        <v/>
      </c>
    </row>
    <row r="478" spans="5:8" x14ac:dyDescent="0.25">
      <c r="E478" s="54" t="str">
        <f>IF(A478="","",SUMIF('Daftar Transaksi'!D:D,A478,'Daftar Transaksi'!F:F))</f>
        <v/>
      </c>
      <c r="F478" s="54" t="str">
        <f t="shared" si="21"/>
        <v/>
      </c>
      <c r="G478" s="54" t="str">
        <f t="shared" si="22"/>
        <v/>
      </c>
      <c r="H478" s="54" t="str">
        <f t="shared" si="23"/>
        <v/>
      </c>
    </row>
    <row r="479" spans="5:8" x14ac:dyDescent="0.25">
      <c r="E479" s="54" t="str">
        <f>IF(A479="","",SUMIF('Daftar Transaksi'!D:D,A479,'Daftar Transaksi'!F:F))</f>
        <v/>
      </c>
      <c r="F479" s="54" t="str">
        <f t="shared" si="21"/>
        <v/>
      </c>
      <c r="G479" s="54" t="str">
        <f t="shared" si="22"/>
        <v/>
      </c>
      <c r="H479" s="54" t="str">
        <f t="shared" si="23"/>
        <v/>
      </c>
    </row>
    <row r="480" spans="5:8" x14ac:dyDescent="0.25">
      <c r="E480" s="54" t="str">
        <f>IF(A480="","",SUMIF('Daftar Transaksi'!D:D,A480,'Daftar Transaksi'!F:F))</f>
        <v/>
      </c>
      <c r="F480" s="54" t="str">
        <f t="shared" si="21"/>
        <v/>
      </c>
      <c r="G480" s="54" t="str">
        <f t="shared" si="22"/>
        <v/>
      </c>
      <c r="H480" s="54" t="str">
        <f t="shared" si="23"/>
        <v/>
      </c>
    </row>
    <row r="481" spans="5:8" x14ac:dyDescent="0.25">
      <c r="E481" s="54" t="str">
        <f>IF(A481="","",SUMIF('Daftar Transaksi'!D:D,A481,'Daftar Transaksi'!F:F))</f>
        <v/>
      </c>
      <c r="F481" s="54" t="str">
        <f t="shared" si="21"/>
        <v/>
      </c>
      <c r="G481" s="54" t="str">
        <f t="shared" si="22"/>
        <v/>
      </c>
      <c r="H481" s="54" t="str">
        <f t="shared" si="23"/>
        <v/>
      </c>
    </row>
    <row r="482" spans="5:8" x14ac:dyDescent="0.25">
      <c r="E482" s="54" t="str">
        <f>IF(A482="","",SUMIF('Daftar Transaksi'!D:D,A482,'Daftar Transaksi'!F:F))</f>
        <v/>
      </c>
      <c r="F482" s="54" t="str">
        <f t="shared" si="21"/>
        <v/>
      </c>
      <c r="G482" s="54" t="str">
        <f t="shared" si="22"/>
        <v/>
      </c>
      <c r="H482" s="54" t="str">
        <f t="shared" si="23"/>
        <v/>
      </c>
    </row>
    <row r="483" spans="5:8" x14ac:dyDescent="0.25">
      <c r="E483" s="54" t="str">
        <f>IF(A483="","",SUMIF('Daftar Transaksi'!D:D,A483,'Daftar Transaksi'!F:F))</f>
        <v/>
      </c>
      <c r="F483" s="54" t="str">
        <f t="shared" si="21"/>
        <v/>
      </c>
      <c r="G483" s="54" t="str">
        <f t="shared" si="22"/>
        <v/>
      </c>
      <c r="H483" s="54" t="str">
        <f t="shared" si="23"/>
        <v/>
      </c>
    </row>
    <row r="484" spans="5:8" x14ac:dyDescent="0.25">
      <c r="E484" s="54" t="str">
        <f>IF(A484="","",SUMIF('Daftar Transaksi'!D:D,A484,'Daftar Transaksi'!F:F))</f>
        <v/>
      </c>
      <c r="F484" s="54" t="str">
        <f t="shared" si="21"/>
        <v/>
      </c>
      <c r="G484" s="54" t="str">
        <f t="shared" si="22"/>
        <v/>
      </c>
      <c r="H484" s="54" t="str">
        <f t="shared" si="23"/>
        <v/>
      </c>
    </row>
    <row r="485" spans="5:8" x14ac:dyDescent="0.25">
      <c r="E485" s="54" t="str">
        <f>IF(A485="","",SUMIF('Daftar Transaksi'!D:D,A485,'Daftar Transaksi'!F:F))</f>
        <v/>
      </c>
      <c r="F485" s="54" t="str">
        <f t="shared" si="21"/>
        <v/>
      </c>
      <c r="G485" s="54" t="str">
        <f t="shared" si="22"/>
        <v/>
      </c>
      <c r="H485" s="54" t="str">
        <f t="shared" si="23"/>
        <v/>
      </c>
    </row>
    <row r="486" spans="5:8" x14ac:dyDescent="0.25">
      <c r="E486" s="54" t="str">
        <f>IF(A486="","",SUMIF('Daftar Transaksi'!D:D,A486,'Daftar Transaksi'!F:F))</f>
        <v/>
      </c>
      <c r="F486" s="54" t="str">
        <f t="shared" si="21"/>
        <v/>
      </c>
      <c r="G486" s="54" t="str">
        <f t="shared" si="22"/>
        <v/>
      </c>
      <c r="H486" s="54" t="str">
        <f t="shared" si="23"/>
        <v/>
      </c>
    </row>
    <row r="487" spans="5:8" x14ac:dyDescent="0.25">
      <c r="E487" s="54" t="str">
        <f>IF(A487="","",SUMIF('Daftar Transaksi'!D:D,A487,'Daftar Transaksi'!F:F))</f>
        <v/>
      </c>
      <c r="F487" s="54" t="str">
        <f t="shared" si="21"/>
        <v/>
      </c>
      <c r="G487" s="54" t="str">
        <f t="shared" si="22"/>
        <v/>
      </c>
      <c r="H487" s="54" t="str">
        <f t="shared" si="23"/>
        <v/>
      </c>
    </row>
    <row r="488" spans="5:8" x14ac:dyDescent="0.25">
      <c r="E488" s="54" t="str">
        <f>IF(A488="","",SUMIF('Daftar Transaksi'!D:D,A488,'Daftar Transaksi'!F:F))</f>
        <v/>
      </c>
      <c r="F488" s="54" t="str">
        <f t="shared" si="21"/>
        <v/>
      </c>
      <c r="G488" s="54" t="str">
        <f t="shared" si="22"/>
        <v/>
      </c>
      <c r="H488" s="54" t="str">
        <f t="shared" si="23"/>
        <v/>
      </c>
    </row>
    <row r="489" spans="5:8" x14ac:dyDescent="0.25">
      <c r="E489" s="54" t="str">
        <f>IF(A489="","",SUMIF('Daftar Transaksi'!D:D,A489,'Daftar Transaksi'!F:F))</f>
        <v/>
      </c>
      <c r="F489" s="54" t="str">
        <f t="shared" si="21"/>
        <v/>
      </c>
      <c r="G489" s="54" t="str">
        <f t="shared" si="22"/>
        <v/>
      </c>
      <c r="H489" s="54" t="str">
        <f t="shared" si="23"/>
        <v/>
      </c>
    </row>
    <row r="490" spans="5:8" x14ac:dyDescent="0.25">
      <c r="E490" s="54" t="str">
        <f>IF(A490="","",SUMIF('Daftar Transaksi'!D:D,A490,'Daftar Transaksi'!F:F))</f>
        <v/>
      </c>
      <c r="F490" s="54" t="str">
        <f t="shared" si="21"/>
        <v/>
      </c>
      <c r="G490" s="54" t="str">
        <f t="shared" si="22"/>
        <v/>
      </c>
      <c r="H490" s="54" t="str">
        <f t="shared" si="23"/>
        <v/>
      </c>
    </row>
    <row r="491" spans="5:8" x14ac:dyDescent="0.25">
      <c r="E491" s="54" t="str">
        <f>IF(A491="","",SUMIF('Daftar Transaksi'!D:D,A491,'Daftar Transaksi'!F:F))</f>
        <v/>
      </c>
      <c r="F491" s="54" t="str">
        <f t="shared" si="21"/>
        <v/>
      </c>
      <c r="G491" s="54" t="str">
        <f t="shared" si="22"/>
        <v/>
      </c>
      <c r="H491" s="54" t="str">
        <f t="shared" si="23"/>
        <v/>
      </c>
    </row>
    <row r="492" spans="5:8" x14ac:dyDescent="0.25">
      <c r="E492" s="54" t="str">
        <f>IF(A492="","",SUMIF('Daftar Transaksi'!D:D,A492,'Daftar Transaksi'!F:F))</f>
        <v/>
      </c>
      <c r="F492" s="54" t="str">
        <f t="shared" si="21"/>
        <v/>
      </c>
      <c r="G492" s="54" t="str">
        <f t="shared" si="22"/>
        <v/>
      </c>
      <c r="H492" s="54" t="str">
        <f t="shared" si="23"/>
        <v/>
      </c>
    </row>
    <row r="493" spans="5:8" x14ac:dyDescent="0.25">
      <c r="E493" s="54" t="str">
        <f>IF(A493="","",SUMIF('Daftar Transaksi'!D:D,A493,'Daftar Transaksi'!F:F))</f>
        <v/>
      </c>
      <c r="F493" s="54" t="str">
        <f t="shared" si="21"/>
        <v/>
      </c>
      <c r="G493" s="54" t="str">
        <f t="shared" si="22"/>
        <v/>
      </c>
      <c r="H493" s="54" t="str">
        <f t="shared" si="23"/>
        <v/>
      </c>
    </row>
    <row r="494" spans="5:8" x14ac:dyDescent="0.25">
      <c r="E494" s="54" t="str">
        <f>IF(A494="","",SUMIF('Daftar Transaksi'!D:D,A494,'Daftar Transaksi'!F:F))</f>
        <v/>
      </c>
      <c r="F494" s="54" t="str">
        <f t="shared" si="21"/>
        <v/>
      </c>
      <c r="G494" s="54" t="str">
        <f t="shared" si="22"/>
        <v/>
      </c>
      <c r="H494" s="54" t="str">
        <f t="shared" si="23"/>
        <v/>
      </c>
    </row>
    <row r="495" spans="5:8" x14ac:dyDescent="0.25">
      <c r="E495" s="54" t="str">
        <f>IF(A495="","",SUMIF('Daftar Transaksi'!D:D,A495,'Daftar Transaksi'!F:F))</f>
        <v/>
      </c>
      <c r="F495" s="54" t="str">
        <f t="shared" si="21"/>
        <v/>
      </c>
      <c r="G495" s="54" t="str">
        <f t="shared" si="22"/>
        <v/>
      </c>
      <c r="H495" s="54" t="str">
        <f t="shared" si="23"/>
        <v/>
      </c>
    </row>
    <row r="496" spans="5:8" x14ac:dyDescent="0.25">
      <c r="E496" s="54" t="str">
        <f>IF(A496="","",SUMIF('Daftar Transaksi'!D:D,A496,'Daftar Transaksi'!F:F))</f>
        <v/>
      </c>
      <c r="F496" s="54" t="str">
        <f t="shared" si="21"/>
        <v/>
      </c>
      <c r="G496" s="54" t="str">
        <f t="shared" si="22"/>
        <v/>
      </c>
      <c r="H496" s="54" t="str">
        <f t="shared" si="23"/>
        <v/>
      </c>
    </row>
    <row r="497" spans="5:8" x14ac:dyDescent="0.25">
      <c r="E497" s="54" t="str">
        <f>IF(A497="","",SUMIF('Daftar Transaksi'!D:D,A497,'Daftar Transaksi'!F:F))</f>
        <v/>
      </c>
      <c r="F497" s="54" t="str">
        <f t="shared" si="21"/>
        <v/>
      </c>
      <c r="G497" s="54" t="str">
        <f t="shared" si="22"/>
        <v/>
      </c>
      <c r="H497" s="54" t="str">
        <f t="shared" si="23"/>
        <v/>
      </c>
    </row>
    <row r="498" spans="5:8" x14ac:dyDescent="0.25">
      <c r="E498" s="54" t="str">
        <f>IF(A498="","",SUMIF('Daftar Transaksi'!D:D,A498,'Daftar Transaksi'!F:F))</f>
        <v/>
      </c>
      <c r="F498" s="54" t="str">
        <f t="shared" si="21"/>
        <v/>
      </c>
      <c r="G498" s="54" t="str">
        <f t="shared" si="22"/>
        <v/>
      </c>
      <c r="H498" s="54" t="str">
        <f t="shared" si="23"/>
        <v/>
      </c>
    </row>
    <row r="499" spans="5:8" x14ac:dyDescent="0.25">
      <c r="E499" s="54" t="str">
        <f>IF(A499="","",SUMIF('Daftar Transaksi'!D:D,A499,'Daftar Transaksi'!F:F))</f>
        <v/>
      </c>
      <c r="F499" s="54" t="str">
        <f t="shared" si="21"/>
        <v/>
      </c>
      <c r="G499" s="54" t="str">
        <f t="shared" si="22"/>
        <v/>
      </c>
      <c r="H499" s="54" t="str">
        <f t="shared" si="23"/>
        <v/>
      </c>
    </row>
    <row r="500" spans="5:8" x14ac:dyDescent="0.25">
      <c r="E500" s="54" t="str">
        <f>IF(A500="","",SUMIF('Daftar Transaksi'!D:D,A500,'Daftar Transaksi'!F:F))</f>
        <v/>
      </c>
      <c r="F500" s="54" t="str">
        <f t="shared" si="21"/>
        <v/>
      </c>
      <c r="G500" s="54" t="str">
        <f t="shared" si="22"/>
        <v/>
      </c>
      <c r="H500" s="54" t="str">
        <f t="shared" si="23"/>
        <v/>
      </c>
    </row>
    <row r="501" spans="5:8" x14ac:dyDescent="0.25">
      <c r="E501" s="54" t="str">
        <f>IF(A501="","",SUMIF('Daftar Transaksi'!D:D,A501,'Daftar Transaksi'!F:F))</f>
        <v/>
      </c>
      <c r="F501" s="54" t="str">
        <f t="shared" si="21"/>
        <v/>
      </c>
      <c r="G501" s="54" t="str">
        <f t="shared" si="22"/>
        <v/>
      </c>
      <c r="H501" s="54" t="str">
        <f t="shared" si="23"/>
        <v/>
      </c>
    </row>
    <row r="502" spans="5:8" x14ac:dyDescent="0.25">
      <c r="E502" s="54" t="str">
        <f>IF(A502="","",SUMIF('Daftar Transaksi'!D:D,A502,'Daftar Transaksi'!F:F))</f>
        <v/>
      </c>
      <c r="F502" s="54" t="str">
        <f t="shared" si="21"/>
        <v/>
      </c>
      <c r="G502" s="54" t="str">
        <f t="shared" si="22"/>
        <v/>
      </c>
      <c r="H502" s="54" t="str">
        <f t="shared" si="23"/>
        <v/>
      </c>
    </row>
    <row r="503" spans="5:8" x14ac:dyDescent="0.25">
      <c r="E503" s="54" t="str">
        <f>IF(A503="","",SUMIF('Daftar Transaksi'!D:D,A503,'Daftar Transaksi'!F:F))</f>
        <v/>
      </c>
      <c r="F503" s="54" t="str">
        <f t="shared" si="21"/>
        <v/>
      </c>
      <c r="G503" s="54" t="str">
        <f t="shared" si="22"/>
        <v/>
      </c>
      <c r="H503" s="54" t="str">
        <f t="shared" si="23"/>
        <v/>
      </c>
    </row>
    <row r="504" spans="5:8" x14ac:dyDescent="0.25">
      <c r="E504" s="54" t="str">
        <f>IF(A504="","",SUMIF('Daftar Transaksi'!D:D,A504,'Daftar Transaksi'!F:F))</f>
        <v/>
      </c>
      <c r="F504" s="54" t="str">
        <f t="shared" si="21"/>
        <v/>
      </c>
      <c r="G504" s="54" t="str">
        <f t="shared" si="22"/>
        <v/>
      </c>
      <c r="H504" s="54" t="str">
        <f t="shared" si="23"/>
        <v/>
      </c>
    </row>
    <row r="505" spans="5:8" x14ac:dyDescent="0.25">
      <c r="E505" s="54" t="str">
        <f>IF(A505="","",SUMIF('Daftar Transaksi'!D:D,A505,'Daftar Transaksi'!F:F))</f>
        <v/>
      </c>
      <c r="F505" s="54" t="str">
        <f t="shared" si="21"/>
        <v/>
      </c>
      <c r="G505" s="54" t="str">
        <f t="shared" si="22"/>
        <v/>
      </c>
      <c r="H505" s="54" t="str">
        <f t="shared" si="23"/>
        <v/>
      </c>
    </row>
    <row r="506" spans="5:8" x14ac:dyDescent="0.25">
      <c r="E506" s="54" t="str">
        <f>IF(A506="","",SUMIF('Daftar Transaksi'!D:D,A506,'Daftar Transaksi'!F:F))</f>
        <v/>
      </c>
      <c r="F506" s="54" t="str">
        <f t="shared" si="21"/>
        <v/>
      </c>
      <c r="G506" s="54" t="str">
        <f t="shared" si="22"/>
        <v/>
      </c>
      <c r="H506" s="54" t="str">
        <f t="shared" si="23"/>
        <v/>
      </c>
    </row>
    <row r="507" spans="5:8" x14ac:dyDescent="0.25">
      <c r="E507" s="54" t="str">
        <f>IF(A507="","",SUMIF('Daftar Transaksi'!D:D,A507,'Daftar Transaksi'!F:F))</f>
        <v/>
      </c>
      <c r="F507" s="54" t="str">
        <f t="shared" si="21"/>
        <v/>
      </c>
      <c r="G507" s="54" t="str">
        <f t="shared" si="22"/>
        <v/>
      </c>
      <c r="H507" s="54" t="str">
        <f t="shared" si="23"/>
        <v/>
      </c>
    </row>
    <row r="508" spans="5:8" x14ac:dyDescent="0.25">
      <c r="E508" s="54" t="str">
        <f>IF(A508="","",SUMIF('Daftar Transaksi'!D:D,A508,'Daftar Transaksi'!F:F))</f>
        <v/>
      </c>
      <c r="F508" s="54" t="str">
        <f t="shared" si="21"/>
        <v/>
      </c>
      <c r="G508" s="54" t="str">
        <f t="shared" si="22"/>
        <v/>
      </c>
      <c r="H508" s="54" t="str">
        <f t="shared" si="23"/>
        <v/>
      </c>
    </row>
    <row r="509" spans="5:8" x14ac:dyDescent="0.25">
      <c r="E509" s="54" t="str">
        <f>IF(A509="","",SUMIF('Daftar Transaksi'!D:D,A509,'Daftar Transaksi'!F:F))</f>
        <v/>
      </c>
      <c r="F509" s="54" t="str">
        <f t="shared" si="21"/>
        <v/>
      </c>
      <c r="G509" s="54" t="str">
        <f t="shared" si="22"/>
        <v/>
      </c>
      <c r="H509" s="54" t="str">
        <f t="shared" si="23"/>
        <v/>
      </c>
    </row>
    <row r="510" spans="5:8" x14ac:dyDescent="0.25">
      <c r="E510" s="54" t="str">
        <f>IF(A510="","",SUMIF('Daftar Transaksi'!D:D,A510,'Daftar Transaksi'!F:F))</f>
        <v/>
      </c>
      <c r="F510" s="54" t="str">
        <f t="shared" si="21"/>
        <v/>
      </c>
      <c r="G510" s="54" t="str">
        <f t="shared" si="22"/>
        <v/>
      </c>
      <c r="H510" s="54" t="str">
        <f t="shared" si="23"/>
        <v/>
      </c>
    </row>
    <row r="511" spans="5:8" x14ac:dyDescent="0.25">
      <c r="E511" s="54" t="str">
        <f>IF(A511="","",SUMIF('Daftar Transaksi'!D:D,A511,'Daftar Transaksi'!F:F))</f>
        <v/>
      </c>
      <c r="F511" s="54" t="str">
        <f t="shared" ref="F511:F574" si="24">IF(A511="","",D511-E511)</f>
        <v/>
      </c>
      <c r="G511" s="54" t="str">
        <f t="shared" ref="G511:G574" si="25">IF(A511="","",C511*E511)</f>
        <v/>
      </c>
      <c r="H511" s="54" t="str">
        <f t="shared" ref="H511:H574" si="26">IF(A511="","",G511-(B511*E511))</f>
        <v/>
      </c>
    </row>
    <row r="512" spans="5:8" x14ac:dyDescent="0.25">
      <c r="E512" s="54" t="str">
        <f>IF(A512="","",SUMIF('Daftar Transaksi'!D:D,A512,'Daftar Transaksi'!F:F))</f>
        <v/>
      </c>
      <c r="F512" s="54" t="str">
        <f t="shared" si="24"/>
        <v/>
      </c>
      <c r="G512" s="54" t="str">
        <f t="shared" si="25"/>
        <v/>
      </c>
      <c r="H512" s="54" t="str">
        <f t="shared" si="26"/>
        <v/>
      </c>
    </row>
    <row r="513" spans="5:8" x14ac:dyDescent="0.25">
      <c r="E513" s="54" t="str">
        <f>IF(A513="","",SUMIF('Daftar Transaksi'!D:D,A513,'Daftar Transaksi'!F:F))</f>
        <v/>
      </c>
      <c r="F513" s="54" t="str">
        <f t="shared" si="24"/>
        <v/>
      </c>
      <c r="G513" s="54" t="str">
        <f t="shared" si="25"/>
        <v/>
      </c>
      <c r="H513" s="54" t="str">
        <f t="shared" si="26"/>
        <v/>
      </c>
    </row>
    <row r="514" spans="5:8" x14ac:dyDescent="0.25">
      <c r="E514" s="54" t="str">
        <f>IF(A514="","",SUMIF('Daftar Transaksi'!D:D,A514,'Daftar Transaksi'!F:F))</f>
        <v/>
      </c>
      <c r="F514" s="54" t="str">
        <f t="shared" si="24"/>
        <v/>
      </c>
      <c r="G514" s="54" t="str">
        <f t="shared" si="25"/>
        <v/>
      </c>
      <c r="H514" s="54" t="str">
        <f t="shared" si="26"/>
        <v/>
      </c>
    </row>
    <row r="515" spans="5:8" x14ac:dyDescent="0.25">
      <c r="E515" s="54" t="str">
        <f>IF(A515="","",SUMIF('Daftar Transaksi'!D:D,A515,'Daftar Transaksi'!F:F))</f>
        <v/>
      </c>
      <c r="F515" s="54" t="str">
        <f t="shared" si="24"/>
        <v/>
      </c>
      <c r="G515" s="54" t="str">
        <f t="shared" si="25"/>
        <v/>
      </c>
      <c r="H515" s="54" t="str">
        <f t="shared" si="26"/>
        <v/>
      </c>
    </row>
    <row r="516" spans="5:8" x14ac:dyDescent="0.25">
      <c r="E516" s="54" t="str">
        <f>IF(A516="","",SUMIF('Daftar Transaksi'!D:D,A516,'Daftar Transaksi'!F:F))</f>
        <v/>
      </c>
      <c r="F516" s="54" t="str">
        <f t="shared" si="24"/>
        <v/>
      </c>
      <c r="G516" s="54" t="str">
        <f t="shared" si="25"/>
        <v/>
      </c>
      <c r="H516" s="54" t="str">
        <f t="shared" si="26"/>
        <v/>
      </c>
    </row>
    <row r="517" spans="5:8" x14ac:dyDescent="0.25">
      <c r="E517" s="54" t="str">
        <f>IF(A517="","",SUMIF('Daftar Transaksi'!D:D,A517,'Daftar Transaksi'!F:F))</f>
        <v/>
      </c>
      <c r="F517" s="54" t="str">
        <f t="shared" si="24"/>
        <v/>
      </c>
      <c r="G517" s="54" t="str">
        <f t="shared" si="25"/>
        <v/>
      </c>
      <c r="H517" s="54" t="str">
        <f t="shared" si="26"/>
        <v/>
      </c>
    </row>
    <row r="518" spans="5:8" x14ac:dyDescent="0.25">
      <c r="E518" s="54" t="str">
        <f>IF(A518="","",SUMIF('Daftar Transaksi'!D:D,A518,'Daftar Transaksi'!F:F))</f>
        <v/>
      </c>
      <c r="F518" s="54" t="str">
        <f t="shared" si="24"/>
        <v/>
      </c>
      <c r="G518" s="54" t="str">
        <f t="shared" si="25"/>
        <v/>
      </c>
      <c r="H518" s="54" t="str">
        <f t="shared" si="26"/>
        <v/>
      </c>
    </row>
    <row r="519" spans="5:8" x14ac:dyDescent="0.25">
      <c r="E519" s="54" t="str">
        <f>IF(A519="","",SUMIF('Daftar Transaksi'!D:D,A519,'Daftar Transaksi'!F:F))</f>
        <v/>
      </c>
      <c r="F519" s="54" t="str">
        <f t="shared" si="24"/>
        <v/>
      </c>
      <c r="G519" s="54" t="str">
        <f t="shared" si="25"/>
        <v/>
      </c>
      <c r="H519" s="54" t="str">
        <f t="shared" si="26"/>
        <v/>
      </c>
    </row>
    <row r="520" spans="5:8" x14ac:dyDescent="0.25">
      <c r="E520" s="54" t="str">
        <f>IF(A520="","",SUMIF('Daftar Transaksi'!D:D,A520,'Daftar Transaksi'!F:F))</f>
        <v/>
      </c>
      <c r="F520" s="54" t="str">
        <f t="shared" si="24"/>
        <v/>
      </c>
      <c r="G520" s="54" t="str">
        <f t="shared" si="25"/>
        <v/>
      </c>
      <c r="H520" s="54" t="str">
        <f t="shared" si="26"/>
        <v/>
      </c>
    </row>
    <row r="521" spans="5:8" x14ac:dyDescent="0.25">
      <c r="E521" s="54" t="str">
        <f>IF(A521="","",SUMIF('Daftar Transaksi'!D:D,A521,'Daftar Transaksi'!F:F))</f>
        <v/>
      </c>
      <c r="F521" s="54" t="str">
        <f t="shared" si="24"/>
        <v/>
      </c>
      <c r="G521" s="54" t="str">
        <f t="shared" si="25"/>
        <v/>
      </c>
      <c r="H521" s="54" t="str">
        <f t="shared" si="26"/>
        <v/>
      </c>
    </row>
    <row r="522" spans="5:8" x14ac:dyDescent="0.25">
      <c r="E522" s="54" t="str">
        <f>IF(A522="","",SUMIF('Daftar Transaksi'!D:D,A522,'Daftar Transaksi'!F:F))</f>
        <v/>
      </c>
      <c r="F522" s="54" t="str">
        <f t="shared" si="24"/>
        <v/>
      </c>
      <c r="G522" s="54" t="str">
        <f t="shared" si="25"/>
        <v/>
      </c>
      <c r="H522" s="54" t="str">
        <f t="shared" si="26"/>
        <v/>
      </c>
    </row>
    <row r="523" spans="5:8" x14ac:dyDescent="0.25">
      <c r="E523" s="54" t="str">
        <f>IF(A523="","",SUMIF('Daftar Transaksi'!D:D,A523,'Daftar Transaksi'!F:F))</f>
        <v/>
      </c>
      <c r="F523" s="54" t="str">
        <f t="shared" si="24"/>
        <v/>
      </c>
      <c r="G523" s="54" t="str">
        <f t="shared" si="25"/>
        <v/>
      </c>
      <c r="H523" s="54" t="str">
        <f t="shared" si="26"/>
        <v/>
      </c>
    </row>
    <row r="524" spans="5:8" x14ac:dyDescent="0.25">
      <c r="E524" s="54" t="str">
        <f>IF(A524="","",SUMIF('Daftar Transaksi'!D:D,A524,'Daftar Transaksi'!F:F))</f>
        <v/>
      </c>
      <c r="F524" s="54" t="str">
        <f t="shared" si="24"/>
        <v/>
      </c>
      <c r="G524" s="54" t="str">
        <f t="shared" si="25"/>
        <v/>
      </c>
      <c r="H524" s="54" t="str">
        <f t="shared" si="26"/>
        <v/>
      </c>
    </row>
    <row r="525" spans="5:8" x14ac:dyDescent="0.25">
      <c r="E525" s="54" t="str">
        <f>IF(A525="","",SUMIF('Daftar Transaksi'!D:D,A525,'Daftar Transaksi'!F:F))</f>
        <v/>
      </c>
      <c r="F525" s="54" t="str">
        <f t="shared" si="24"/>
        <v/>
      </c>
      <c r="G525" s="54" t="str">
        <f t="shared" si="25"/>
        <v/>
      </c>
      <c r="H525" s="54" t="str">
        <f t="shared" si="26"/>
        <v/>
      </c>
    </row>
    <row r="526" spans="5:8" x14ac:dyDescent="0.25">
      <c r="E526" s="54" t="str">
        <f>IF(A526="","",SUMIF('Daftar Transaksi'!D:D,A526,'Daftar Transaksi'!F:F))</f>
        <v/>
      </c>
      <c r="F526" s="54" t="str">
        <f t="shared" si="24"/>
        <v/>
      </c>
      <c r="G526" s="54" t="str">
        <f t="shared" si="25"/>
        <v/>
      </c>
      <c r="H526" s="54" t="str">
        <f t="shared" si="26"/>
        <v/>
      </c>
    </row>
    <row r="527" spans="5:8" x14ac:dyDescent="0.25">
      <c r="E527" s="54" t="str">
        <f>IF(A527="","",SUMIF('Daftar Transaksi'!D:D,A527,'Daftar Transaksi'!F:F))</f>
        <v/>
      </c>
      <c r="F527" s="54" t="str">
        <f t="shared" si="24"/>
        <v/>
      </c>
      <c r="G527" s="54" t="str">
        <f t="shared" si="25"/>
        <v/>
      </c>
      <c r="H527" s="54" t="str">
        <f t="shared" si="26"/>
        <v/>
      </c>
    </row>
    <row r="528" spans="5:8" x14ac:dyDescent="0.25">
      <c r="E528" s="54" t="str">
        <f>IF(A528="","",SUMIF('Daftar Transaksi'!D:D,A528,'Daftar Transaksi'!F:F))</f>
        <v/>
      </c>
      <c r="F528" s="54" t="str">
        <f t="shared" si="24"/>
        <v/>
      </c>
      <c r="G528" s="54" t="str">
        <f t="shared" si="25"/>
        <v/>
      </c>
      <c r="H528" s="54" t="str">
        <f t="shared" si="26"/>
        <v/>
      </c>
    </row>
    <row r="529" spans="5:8" x14ac:dyDescent="0.25">
      <c r="E529" s="54" t="str">
        <f>IF(A529="","",SUMIF('Daftar Transaksi'!D:D,A529,'Daftar Transaksi'!F:F))</f>
        <v/>
      </c>
      <c r="F529" s="54" t="str">
        <f t="shared" si="24"/>
        <v/>
      </c>
      <c r="G529" s="54" t="str">
        <f t="shared" si="25"/>
        <v/>
      </c>
      <c r="H529" s="54" t="str">
        <f t="shared" si="26"/>
        <v/>
      </c>
    </row>
    <row r="530" spans="5:8" x14ac:dyDescent="0.25">
      <c r="E530" s="54" t="str">
        <f>IF(A530="","",SUMIF('Daftar Transaksi'!D:D,A530,'Daftar Transaksi'!F:F))</f>
        <v/>
      </c>
      <c r="F530" s="54" t="str">
        <f t="shared" si="24"/>
        <v/>
      </c>
      <c r="G530" s="54" t="str">
        <f t="shared" si="25"/>
        <v/>
      </c>
      <c r="H530" s="54" t="str">
        <f t="shared" si="26"/>
        <v/>
      </c>
    </row>
    <row r="531" spans="5:8" x14ac:dyDescent="0.25">
      <c r="E531" s="54" t="str">
        <f>IF(A531="","",SUMIF('Daftar Transaksi'!D:D,A531,'Daftar Transaksi'!F:F))</f>
        <v/>
      </c>
      <c r="F531" s="54" t="str">
        <f t="shared" si="24"/>
        <v/>
      </c>
      <c r="G531" s="54" t="str">
        <f t="shared" si="25"/>
        <v/>
      </c>
      <c r="H531" s="54" t="str">
        <f t="shared" si="26"/>
        <v/>
      </c>
    </row>
    <row r="532" spans="5:8" x14ac:dyDescent="0.25">
      <c r="E532" s="54" t="str">
        <f>IF(A532="","",SUMIF('Daftar Transaksi'!D:D,A532,'Daftar Transaksi'!F:F))</f>
        <v/>
      </c>
      <c r="F532" s="54" t="str">
        <f t="shared" si="24"/>
        <v/>
      </c>
      <c r="G532" s="54" t="str">
        <f t="shared" si="25"/>
        <v/>
      </c>
      <c r="H532" s="54" t="str">
        <f t="shared" si="26"/>
        <v/>
      </c>
    </row>
    <row r="533" spans="5:8" x14ac:dyDescent="0.25">
      <c r="E533" s="54" t="str">
        <f>IF(A533="","",SUMIF('Daftar Transaksi'!D:D,A533,'Daftar Transaksi'!F:F))</f>
        <v/>
      </c>
      <c r="F533" s="54" t="str">
        <f t="shared" si="24"/>
        <v/>
      </c>
      <c r="G533" s="54" t="str">
        <f t="shared" si="25"/>
        <v/>
      </c>
      <c r="H533" s="54" t="str">
        <f t="shared" si="26"/>
        <v/>
      </c>
    </row>
    <row r="534" spans="5:8" x14ac:dyDescent="0.25">
      <c r="E534" s="54" t="str">
        <f>IF(A534="","",SUMIF('Daftar Transaksi'!D:D,A534,'Daftar Transaksi'!F:F))</f>
        <v/>
      </c>
      <c r="F534" s="54" t="str">
        <f t="shared" si="24"/>
        <v/>
      </c>
      <c r="G534" s="54" t="str">
        <f t="shared" si="25"/>
        <v/>
      </c>
      <c r="H534" s="54" t="str">
        <f t="shared" si="26"/>
        <v/>
      </c>
    </row>
    <row r="535" spans="5:8" x14ac:dyDescent="0.25">
      <c r="E535" s="54" t="str">
        <f>IF(A535="","",SUMIF('Daftar Transaksi'!D:D,A535,'Daftar Transaksi'!F:F))</f>
        <v/>
      </c>
      <c r="F535" s="54" t="str">
        <f t="shared" si="24"/>
        <v/>
      </c>
      <c r="G535" s="54" t="str">
        <f t="shared" si="25"/>
        <v/>
      </c>
      <c r="H535" s="54" t="str">
        <f t="shared" si="26"/>
        <v/>
      </c>
    </row>
    <row r="536" spans="5:8" x14ac:dyDescent="0.25">
      <c r="E536" s="54" t="str">
        <f>IF(A536="","",SUMIF('Daftar Transaksi'!D:D,A536,'Daftar Transaksi'!F:F))</f>
        <v/>
      </c>
      <c r="F536" s="54" t="str">
        <f t="shared" si="24"/>
        <v/>
      </c>
      <c r="G536" s="54" t="str">
        <f t="shared" si="25"/>
        <v/>
      </c>
      <c r="H536" s="54" t="str">
        <f t="shared" si="26"/>
        <v/>
      </c>
    </row>
    <row r="537" spans="5:8" x14ac:dyDescent="0.25">
      <c r="E537" s="54" t="str">
        <f>IF(A537="","",SUMIF('Daftar Transaksi'!D:D,A537,'Daftar Transaksi'!F:F))</f>
        <v/>
      </c>
      <c r="F537" s="54" t="str">
        <f t="shared" si="24"/>
        <v/>
      </c>
      <c r="G537" s="54" t="str">
        <f t="shared" si="25"/>
        <v/>
      </c>
      <c r="H537" s="54" t="str">
        <f t="shared" si="26"/>
        <v/>
      </c>
    </row>
    <row r="538" spans="5:8" x14ac:dyDescent="0.25">
      <c r="E538" s="54" t="str">
        <f>IF(A538="","",SUMIF('Daftar Transaksi'!D:D,A538,'Daftar Transaksi'!F:F))</f>
        <v/>
      </c>
      <c r="F538" s="54" t="str">
        <f t="shared" si="24"/>
        <v/>
      </c>
      <c r="G538" s="54" t="str">
        <f t="shared" si="25"/>
        <v/>
      </c>
      <c r="H538" s="54" t="str">
        <f t="shared" si="26"/>
        <v/>
      </c>
    </row>
    <row r="539" spans="5:8" x14ac:dyDescent="0.25">
      <c r="E539" s="54" t="str">
        <f>IF(A539="","",SUMIF('Daftar Transaksi'!D:D,A539,'Daftar Transaksi'!F:F))</f>
        <v/>
      </c>
      <c r="F539" s="54" t="str">
        <f t="shared" si="24"/>
        <v/>
      </c>
      <c r="G539" s="54" t="str">
        <f t="shared" si="25"/>
        <v/>
      </c>
      <c r="H539" s="54" t="str">
        <f t="shared" si="26"/>
        <v/>
      </c>
    </row>
    <row r="540" spans="5:8" x14ac:dyDescent="0.25">
      <c r="E540" s="54" t="str">
        <f>IF(A540="","",SUMIF('Daftar Transaksi'!D:D,A540,'Daftar Transaksi'!F:F))</f>
        <v/>
      </c>
      <c r="F540" s="54" t="str">
        <f t="shared" si="24"/>
        <v/>
      </c>
      <c r="G540" s="54" t="str">
        <f t="shared" si="25"/>
        <v/>
      </c>
      <c r="H540" s="54" t="str">
        <f t="shared" si="26"/>
        <v/>
      </c>
    </row>
    <row r="541" spans="5:8" x14ac:dyDescent="0.25">
      <c r="E541" s="54" t="str">
        <f>IF(A541="","",SUMIF('Daftar Transaksi'!D:D,A541,'Daftar Transaksi'!F:F))</f>
        <v/>
      </c>
      <c r="F541" s="54" t="str">
        <f t="shared" si="24"/>
        <v/>
      </c>
      <c r="G541" s="54" t="str">
        <f t="shared" si="25"/>
        <v/>
      </c>
      <c r="H541" s="54" t="str">
        <f t="shared" si="26"/>
        <v/>
      </c>
    </row>
    <row r="542" spans="5:8" x14ac:dyDescent="0.25">
      <c r="E542" s="54" t="str">
        <f>IF(A542="","",SUMIF('Daftar Transaksi'!D:D,A542,'Daftar Transaksi'!F:F))</f>
        <v/>
      </c>
      <c r="F542" s="54" t="str">
        <f t="shared" si="24"/>
        <v/>
      </c>
      <c r="G542" s="54" t="str">
        <f t="shared" si="25"/>
        <v/>
      </c>
      <c r="H542" s="54" t="str">
        <f t="shared" si="26"/>
        <v/>
      </c>
    </row>
    <row r="543" spans="5:8" x14ac:dyDescent="0.25">
      <c r="E543" s="54" t="str">
        <f>IF(A543="","",SUMIF('Daftar Transaksi'!D:D,A543,'Daftar Transaksi'!F:F))</f>
        <v/>
      </c>
      <c r="F543" s="54" t="str">
        <f t="shared" si="24"/>
        <v/>
      </c>
      <c r="G543" s="54" t="str">
        <f t="shared" si="25"/>
        <v/>
      </c>
      <c r="H543" s="54" t="str">
        <f t="shared" si="26"/>
        <v/>
      </c>
    </row>
    <row r="544" spans="5:8" x14ac:dyDescent="0.25">
      <c r="E544" s="54" t="str">
        <f>IF(A544="","",SUMIF('Daftar Transaksi'!D:D,A544,'Daftar Transaksi'!F:F))</f>
        <v/>
      </c>
      <c r="F544" s="54" t="str">
        <f t="shared" si="24"/>
        <v/>
      </c>
      <c r="G544" s="54" t="str">
        <f t="shared" si="25"/>
        <v/>
      </c>
      <c r="H544" s="54" t="str">
        <f t="shared" si="26"/>
        <v/>
      </c>
    </row>
    <row r="545" spans="5:8" x14ac:dyDescent="0.25">
      <c r="E545" s="54" t="str">
        <f>IF(A545="","",SUMIF('Daftar Transaksi'!D:D,A545,'Daftar Transaksi'!F:F))</f>
        <v/>
      </c>
      <c r="F545" s="54" t="str">
        <f t="shared" si="24"/>
        <v/>
      </c>
      <c r="G545" s="54" t="str">
        <f t="shared" si="25"/>
        <v/>
      </c>
      <c r="H545" s="54" t="str">
        <f t="shared" si="26"/>
        <v/>
      </c>
    </row>
    <row r="546" spans="5:8" x14ac:dyDescent="0.25">
      <c r="E546" s="54" t="str">
        <f>IF(A546="","",SUMIF('Daftar Transaksi'!D:D,A546,'Daftar Transaksi'!F:F))</f>
        <v/>
      </c>
      <c r="F546" s="54" t="str">
        <f t="shared" si="24"/>
        <v/>
      </c>
      <c r="G546" s="54" t="str">
        <f t="shared" si="25"/>
        <v/>
      </c>
      <c r="H546" s="54" t="str">
        <f t="shared" si="26"/>
        <v/>
      </c>
    </row>
    <row r="547" spans="5:8" x14ac:dyDescent="0.25">
      <c r="E547" s="54" t="str">
        <f>IF(A547="","",SUMIF('Daftar Transaksi'!D:D,A547,'Daftar Transaksi'!F:F))</f>
        <v/>
      </c>
      <c r="F547" s="54" t="str">
        <f t="shared" si="24"/>
        <v/>
      </c>
      <c r="G547" s="54" t="str">
        <f t="shared" si="25"/>
        <v/>
      </c>
      <c r="H547" s="54" t="str">
        <f t="shared" si="26"/>
        <v/>
      </c>
    </row>
    <row r="548" spans="5:8" x14ac:dyDescent="0.25">
      <c r="E548" s="54" t="str">
        <f>IF(A548="","",SUMIF('Daftar Transaksi'!D:D,A548,'Daftar Transaksi'!F:F))</f>
        <v/>
      </c>
      <c r="F548" s="54" t="str">
        <f t="shared" si="24"/>
        <v/>
      </c>
      <c r="G548" s="54" t="str">
        <f t="shared" si="25"/>
        <v/>
      </c>
      <c r="H548" s="54" t="str">
        <f t="shared" si="26"/>
        <v/>
      </c>
    </row>
    <row r="549" spans="5:8" x14ac:dyDescent="0.25">
      <c r="E549" s="54" t="str">
        <f>IF(A549="","",SUMIF('Daftar Transaksi'!D:D,A549,'Daftar Transaksi'!F:F))</f>
        <v/>
      </c>
      <c r="F549" s="54" t="str">
        <f t="shared" si="24"/>
        <v/>
      </c>
      <c r="G549" s="54" t="str">
        <f t="shared" si="25"/>
        <v/>
      </c>
      <c r="H549" s="54" t="str">
        <f t="shared" si="26"/>
        <v/>
      </c>
    </row>
    <row r="550" spans="5:8" x14ac:dyDescent="0.25">
      <c r="E550" s="54" t="str">
        <f>IF(A550="","",SUMIF('Daftar Transaksi'!D:D,A550,'Daftar Transaksi'!F:F))</f>
        <v/>
      </c>
      <c r="F550" s="54" t="str">
        <f t="shared" si="24"/>
        <v/>
      </c>
      <c r="G550" s="54" t="str">
        <f t="shared" si="25"/>
        <v/>
      </c>
      <c r="H550" s="54" t="str">
        <f t="shared" si="26"/>
        <v/>
      </c>
    </row>
    <row r="551" spans="5:8" x14ac:dyDescent="0.25">
      <c r="E551" s="54" t="str">
        <f>IF(A551="","",SUMIF('Daftar Transaksi'!D:D,A551,'Daftar Transaksi'!F:F))</f>
        <v/>
      </c>
      <c r="F551" s="54" t="str">
        <f t="shared" si="24"/>
        <v/>
      </c>
      <c r="G551" s="54" t="str">
        <f t="shared" si="25"/>
        <v/>
      </c>
      <c r="H551" s="54" t="str">
        <f t="shared" si="26"/>
        <v/>
      </c>
    </row>
    <row r="552" spans="5:8" x14ac:dyDescent="0.25">
      <c r="E552" s="54" t="str">
        <f>IF(A552="","",SUMIF('Daftar Transaksi'!D:D,A552,'Daftar Transaksi'!F:F))</f>
        <v/>
      </c>
      <c r="F552" s="54" t="str">
        <f t="shared" si="24"/>
        <v/>
      </c>
      <c r="G552" s="54" t="str">
        <f t="shared" si="25"/>
        <v/>
      </c>
      <c r="H552" s="54" t="str">
        <f t="shared" si="26"/>
        <v/>
      </c>
    </row>
    <row r="553" spans="5:8" x14ac:dyDescent="0.25">
      <c r="E553" s="54" t="str">
        <f>IF(A553="","",SUMIF('Daftar Transaksi'!D:D,A553,'Daftar Transaksi'!F:F))</f>
        <v/>
      </c>
      <c r="F553" s="54" t="str">
        <f t="shared" si="24"/>
        <v/>
      </c>
      <c r="G553" s="54" t="str">
        <f t="shared" si="25"/>
        <v/>
      </c>
      <c r="H553" s="54" t="str">
        <f t="shared" si="26"/>
        <v/>
      </c>
    </row>
    <row r="554" spans="5:8" x14ac:dyDescent="0.25">
      <c r="E554" s="54" t="str">
        <f>IF(A554="","",SUMIF('Daftar Transaksi'!D:D,A554,'Daftar Transaksi'!F:F))</f>
        <v/>
      </c>
      <c r="F554" s="54" t="str">
        <f t="shared" si="24"/>
        <v/>
      </c>
      <c r="G554" s="54" t="str">
        <f t="shared" si="25"/>
        <v/>
      </c>
      <c r="H554" s="54" t="str">
        <f t="shared" si="26"/>
        <v/>
      </c>
    </row>
    <row r="555" spans="5:8" x14ac:dyDescent="0.25">
      <c r="E555" s="54" t="str">
        <f>IF(A555="","",SUMIF('Daftar Transaksi'!D:D,A555,'Daftar Transaksi'!F:F))</f>
        <v/>
      </c>
      <c r="F555" s="54" t="str">
        <f t="shared" si="24"/>
        <v/>
      </c>
      <c r="G555" s="54" t="str">
        <f t="shared" si="25"/>
        <v/>
      </c>
      <c r="H555" s="54" t="str">
        <f t="shared" si="26"/>
        <v/>
      </c>
    </row>
    <row r="556" spans="5:8" x14ac:dyDescent="0.25">
      <c r="E556" s="54" t="str">
        <f>IF(A556="","",SUMIF('Daftar Transaksi'!D:D,A556,'Daftar Transaksi'!F:F))</f>
        <v/>
      </c>
      <c r="F556" s="54" t="str">
        <f t="shared" si="24"/>
        <v/>
      </c>
      <c r="G556" s="54" t="str">
        <f t="shared" si="25"/>
        <v/>
      </c>
      <c r="H556" s="54" t="str">
        <f t="shared" si="26"/>
        <v/>
      </c>
    </row>
    <row r="557" spans="5:8" x14ac:dyDescent="0.25">
      <c r="E557" s="54" t="str">
        <f>IF(A557="","",SUMIF('Daftar Transaksi'!D:D,A557,'Daftar Transaksi'!F:F))</f>
        <v/>
      </c>
      <c r="F557" s="54" t="str">
        <f t="shared" si="24"/>
        <v/>
      </c>
      <c r="G557" s="54" t="str">
        <f t="shared" si="25"/>
        <v/>
      </c>
      <c r="H557" s="54" t="str">
        <f t="shared" si="26"/>
        <v/>
      </c>
    </row>
    <row r="558" spans="5:8" x14ac:dyDescent="0.25">
      <c r="E558" s="54" t="str">
        <f>IF(A558="","",SUMIF('Daftar Transaksi'!D:D,A558,'Daftar Transaksi'!F:F))</f>
        <v/>
      </c>
      <c r="F558" s="54" t="str">
        <f t="shared" si="24"/>
        <v/>
      </c>
      <c r="G558" s="54" t="str">
        <f t="shared" si="25"/>
        <v/>
      </c>
      <c r="H558" s="54" t="str">
        <f t="shared" si="26"/>
        <v/>
      </c>
    </row>
    <row r="559" spans="5:8" x14ac:dyDescent="0.25">
      <c r="E559" s="54" t="str">
        <f>IF(A559="","",SUMIF('Daftar Transaksi'!D:D,A559,'Daftar Transaksi'!F:F))</f>
        <v/>
      </c>
      <c r="F559" s="54" t="str">
        <f t="shared" si="24"/>
        <v/>
      </c>
      <c r="G559" s="54" t="str">
        <f t="shared" si="25"/>
        <v/>
      </c>
      <c r="H559" s="54" t="str">
        <f t="shared" si="26"/>
        <v/>
      </c>
    </row>
    <row r="560" spans="5:8" x14ac:dyDescent="0.25">
      <c r="E560" s="54" t="str">
        <f>IF(A560="","",SUMIF('Daftar Transaksi'!D:D,A560,'Daftar Transaksi'!F:F))</f>
        <v/>
      </c>
      <c r="F560" s="54" t="str">
        <f t="shared" si="24"/>
        <v/>
      </c>
      <c r="G560" s="54" t="str">
        <f t="shared" si="25"/>
        <v/>
      </c>
      <c r="H560" s="54" t="str">
        <f t="shared" si="26"/>
        <v/>
      </c>
    </row>
    <row r="561" spans="5:8" x14ac:dyDescent="0.25">
      <c r="E561" s="54" t="str">
        <f>IF(A561="","",SUMIF('Daftar Transaksi'!D:D,A561,'Daftar Transaksi'!F:F))</f>
        <v/>
      </c>
      <c r="F561" s="54" t="str">
        <f t="shared" si="24"/>
        <v/>
      </c>
      <c r="G561" s="54" t="str">
        <f t="shared" si="25"/>
        <v/>
      </c>
      <c r="H561" s="54" t="str">
        <f t="shared" si="26"/>
        <v/>
      </c>
    </row>
    <row r="562" spans="5:8" x14ac:dyDescent="0.25">
      <c r="E562" s="54" t="str">
        <f>IF(A562="","",SUMIF('Daftar Transaksi'!D:D,A562,'Daftar Transaksi'!F:F))</f>
        <v/>
      </c>
      <c r="F562" s="54" t="str">
        <f t="shared" si="24"/>
        <v/>
      </c>
      <c r="G562" s="54" t="str">
        <f t="shared" si="25"/>
        <v/>
      </c>
      <c r="H562" s="54" t="str">
        <f t="shared" si="26"/>
        <v/>
      </c>
    </row>
    <row r="563" spans="5:8" x14ac:dyDescent="0.25">
      <c r="E563" s="54" t="str">
        <f>IF(A563="","",SUMIF('Daftar Transaksi'!D:D,A563,'Daftar Transaksi'!F:F))</f>
        <v/>
      </c>
      <c r="F563" s="54" t="str">
        <f t="shared" si="24"/>
        <v/>
      </c>
      <c r="G563" s="54" t="str">
        <f t="shared" si="25"/>
        <v/>
      </c>
      <c r="H563" s="54" t="str">
        <f t="shared" si="26"/>
        <v/>
      </c>
    </row>
    <row r="564" spans="5:8" x14ac:dyDescent="0.25">
      <c r="E564" s="54" t="str">
        <f>IF(A564="","",SUMIF('Daftar Transaksi'!D:D,A564,'Daftar Transaksi'!F:F))</f>
        <v/>
      </c>
      <c r="F564" s="54" t="str">
        <f t="shared" si="24"/>
        <v/>
      </c>
      <c r="G564" s="54" t="str">
        <f t="shared" si="25"/>
        <v/>
      </c>
      <c r="H564" s="54" t="str">
        <f t="shared" si="26"/>
        <v/>
      </c>
    </row>
    <row r="565" spans="5:8" x14ac:dyDescent="0.25">
      <c r="E565" s="54" t="str">
        <f>IF(A565="","",SUMIF('Daftar Transaksi'!D:D,A565,'Daftar Transaksi'!F:F))</f>
        <v/>
      </c>
      <c r="F565" s="54" t="str">
        <f t="shared" si="24"/>
        <v/>
      </c>
      <c r="G565" s="54" t="str">
        <f t="shared" si="25"/>
        <v/>
      </c>
      <c r="H565" s="54" t="str">
        <f t="shared" si="26"/>
        <v/>
      </c>
    </row>
    <row r="566" spans="5:8" x14ac:dyDescent="0.25">
      <c r="E566" s="54" t="str">
        <f>IF(A566="","",SUMIF('Daftar Transaksi'!D:D,A566,'Daftar Transaksi'!F:F))</f>
        <v/>
      </c>
      <c r="F566" s="54" t="str">
        <f t="shared" si="24"/>
        <v/>
      </c>
      <c r="G566" s="54" t="str">
        <f t="shared" si="25"/>
        <v/>
      </c>
      <c r="H566" s="54" t="str">
        <f t="shared" si="26"/>
        <v/>
      </c>
    </row>
    <row r="567" spans="5:8" x14ac:dyDescent="0.25">
      <c r="E567" s="54" t="str">
        <f>IF(A567="","",SUMIF('Daftar Transaksi'!D:D,A567,'Daftar Transaksi'!F:F))</f>
        <v/>
      </c>
      <c r="F567" s="54" t="str">
        <f t="shared" si="24"/>
        <v/>
      </c>
      <c r="G567" s="54" t="str">
        <f t="shared" si="25"/>
        <v/>
      </c>
      <c r="H567" s="54" t="str">
        <f t="shared" si="26"/>
        <v/>
      </c>
    </row>
    <row r="568" spans="5:8" x14ac:dyDescent="0.25">
      <c r="E568" s="54" t="str">
        <f>IF(A568="","",SUMIF('Daftar Transaksi'!D:D,A568,'Daftar Transaksi'!F:F))</f>
        <v/>
      </c>
      <c r="F568" s="54" t="str">
        <f t="shared" si="24"/>
        <v/>
      </c>
      <c r="G568" s="54" t="str">
        <f t="shared" si="25"/>
        <v/>
      </c>
      <c r="H568" s="54" t="str">
        <f t="shared" si="26"/>
        <v/>
      </c>
    </row>
    <row r="569" spans="5:8" x14ac:dyDescent="0.25">
      <c r="E569" s="54" t="str">
        <f>IF(A569="","",SUMIF('Daftar Transaksi'!D:D,A569,'Daftar Transaksi'!F:F))</f>
        <v/>
      </c>
      <c r="F569" s="54" t="str">
        <f t="shared" si="24"/>
        <v/>
      </c>
      <c r="G569" s="54" t="str">
        <f t="shared" si="25"/>
        <v/>
      </c>
      <c r="H569" s="54" t="str">
        <f t="shared" si="26"/>
        <v/>
      </c>
    </row>
    <row r="570" spans="5:8" x14ac:dyDescent="0.25">
      <c r="E570" s="54" t="str">
        <f>IF(A570="","",SUMIF('Daftar Transaksi'!D:D,A570,'Daftar Transaksi'!F:F))</f>
        <v/>
      </c>
      <c r="F570" s="54" t="str">
        <f t="shared" si="24"/>
        <v/>
      </c>
      <c r="G570" s="54" t="str">
        <f t="shared" si="25"/>
        <v/>
      </c>
      <c r="H570" s="54" t="str">
        <f t="shared" si="26"/>
        <v/>
      </c>
    </row>
    <row r="571" spans="5:8" x14ac:dyDescent="0.25">
      <c r="E571" s="54" t="str">
        <f>IF(A571="","",SUMIF('Daftar Transaksi'!D:D,A571,'Daftar Transaksi'!F:F))</f>
        <v/>
      </c>
      <c r="F571" s="54" t="str">
        <f t="shared" si="24"/>
        <v/>
      </c>
      <c r="G571" s="54" t="str">
        <f t="shared" si="25"/>
        <v/>
      </c>
      <c r="H571" s="54" t="str">
        <f t="shared" si="26"/>
        <v/>
      </c>
    </row>
    <row r="572" spans="5:8" x14ac:dyDescent="0.25">
      <c r="E572" s="54" t="str">
        <f>IF(A572="","",SUMIF('Daftar Transaksi'!D:D,A572,'Daftar Transaksi'!F:F))</f>
        <v/>
      </c>
      <c r="F572" s="54" t="str">
        <f t="shared" si="24"/>
        <v/>
      </c>
      <c r="G572" s="54" t="str">
        <f t="shared" si="25"/>
        <v/>
      </c>
      <c r="H572" s="54" t="str">
        <f t="shared" si="26"/>
        <v/>
      </c>
    </row>
    <row r="573" spans="5:8" x14ac:dyDescent="0.25">
      <c r="E573" s="54" t="str">
        <f>IF(A573="","",SUMIF('Daftar Transaksi'!D:D,A573,'Daftar Transaksi'!F:F))</f>
        <v/>
      </c>
      <c r="F573" s="54" t="str">
        <f t="shared" si="24"/>
        <v/>
      </c>
      <c r="G573" s="54" t="str">
        <f t="shared" si="25"/>
        <v/>
      </c>
      <c r="H573" s="54" t="str">
        <f t="shared" si="26"/>
        <v/>
      </c>
    </row>
    <row r="574" spans="5:8" x14ac:dyDescent="0.25">
      <c r="E574" s="54" t="str">
        <f>IF(A574="","",SUMIF('Daftar Transaksi'!D:D,A574,'Daftar Transaksi'!F:F))</f>
        <v/>
      </c>
      <c r="F574" s="54" t="str">
        <f t="shared" si="24"/>
        <v/>
      </c>
      <c r="G574" s="54" t="str">
        <f t="shared" si="25"/>
        <v/>
      </c>
      <c r="H574" s="54" t="str">
        <f t="shared" si="26"/>
        <v/>
      </c>
    </row>
    <row r="575" spans="5:8" x14ac:dyDescent="0.25">
      <c r="E575" s="54" t="str">
        <f>IF(A575="","",SUMIF('Daftar Transaksi'!D:D,A575,'Daftar Transaksi'!F:F))</f>
        <v/>
      </c>
      <c r="F575" s="54" t="str">
        <f t="shared" ref="F575:F638" si="27">IF(A575="","",D575-E575)</f>
        <v/>
      </c>
      <c r="G575" s="54" t="str">
        <f t="shared" ref="G575:G638" si="28">IF(A575="","",C575*E575)</f>
        <v/>
      </c>
      <c r="H575" s="54" t="str">
        <f t="shared" ref="H575:H638" si="29">IF(A575="","",G575-(B575*E575))</f>
        <v/>
      </c>
    </row>
    <row r="576" spans="5:8" x14ac:dyDescent="0.25">
      <c r="E576" s="54" t="str">
        <f>IF(A576="","",SUMIF('Daftar Transaksi'!D:D,A576,'Daftar Transaksi'!F:F))</f>
        <v/>
      </c>
      <c r="F576" s="54" t="str">
        <f t="shared" si="27"/>
        <v/>
      </c>
      <c r="G576" s="54" t="str">
        <f t="shared" si="28"/>
        <v/>
      </c>
      <c r="H576" s="54" t="str">
        <f t="shared" si="29"/>
        <v/>
      </c>
    </row>
    <row r="577" spans="5:8" x14ac:dyDescent="0.25">
      <c r="E577" s="54" t="str">
        <f>IF(A577="","",SUMIF('Daftar Transaksi'!D:D,A577,'Daftar Transaksi'!F:F))</f>
        <v/>
      </c>
      <c r="F577" s="54" t="str">
        <f t="shared" si="27"/>
        <v/>
      </c>
      <c r="G577" s="54" t="str">
        <f t="shared" si="28"/>
        <v/>
      </c>
      <c r="H577" s="54" t="str">
        <f t="shared" si="29"/>
        <v/>
      </c>
    </row>
    <row r="578" spans="5:8" x14ac:dyDescent="0.25">
      <c r="E578" s="54" t="str">
        <f>IF(A578="","",SUMIF('Daftar Transaksi'!D:D,A578,'Daftar Transaksi'!F:F))</f>
        <v/>
      </c>
      <c r="F578" s="54" t="str">
        <f t="shared" si="27"/>
        <v/>
      </c>
      <c r="G578" s="54" t="str">
        <f t="shared" si="28"/>
        <v/>
      </c>
      <c r="H578" s="54" t="str">
        <f t="shared" si="29"/>
        <v/>
      </c>
    </row>
    <row r="579" spans="5:8" x14ac:dyDescent="0.25">
      <c r="E579" s="54" t="str">
        <f>IF(A579="","",SUMIF('Daftar Transaksi'!D:D,A579,'Daftar Transaksi'!F:F))</f>
        <v/>
      </c>
      <c r="F579" s="54" t="str">
        <f t="shared" si="27"/>
        <v/>
      </c>
      <c r="G579" s="54" t="str">
        <f t="shared" si="28"/>
        <v/>
      </c>
      <c r="H579" s="54" t="str">
        <f t="shared" si="29"/>
        <v/>
      </c>
    </row>
    <row r="580" spans="5:8" x14ac:dyDescent="0.25">
      <c r="E580" s="54" t="str">
        <f>IF(A580="","",SUMIF('Daftar Transaksi'!D:D,A580,'Daftar Transaksi'!F:F))</f>
        <v/>
      </c>
      <c r="F580" s="54" t="str">
        <f t="shared" si="27"/>
        <v/>
      </c>
      <c r="G580" s="54" t="str">
        <f t="shared" si="28"/>
        <v/>
      </c>
      <c r="H580" s="54" t="str">
        <f t="shared" si="29"/>
        <v/>
      </c>
    </row>
    <row r="581" spans="5:8" x14ac:dyDescent="0.25">
      <c r="E581" s="54" t="str">
        <f>IF(A581="","",SUMIF('Daftar Transaksi'!D:D,A581,'Daftar Transaksi'!F:F))</f>
        <v/>
      </c>
      <c r="F581" s="54" t="str">
        <f t="shared" si="27"/>
        <v/>
      </c>
      <c r="G581" s="54" t="str">
        <f t="shared" si="28"/>
        <v/>
      </c>
      <c r="H581" s="54" t="str">
        <f t="shared" si="29"/>
        <v/>
      </c>
    </row>
    <row r="582" spans="5:8" x14ac:dyDescent="0.25">
      <c r="E582" s="54" t="str">
        <f>IF(A582="","",SUMIF('Daftar Transaksi'!D:D,A582,'Daftar Transaksi'!F:F))</f>
        <v/>
      </c>
      <c r="F582" s="54" t="str">
        <f t="shared" si="27"/>
        <v/>
      </c>
      <c r="G582" s="54" t="str">
        <f t="shared" si="28"/>
        <v/>
      </c>
      <c r="H582" s="54" t="str">
        <f t="shared" si="29"/>
        <v/>
      </c>
    </row>
    <row r="583" spans="5:8" x14ac:dyDescent="0.25">
      <c r="E583" s="54" t="str">
        <f>IF(A583="","",SUMIF('Daftar Transaksi'!D:D,A583,'Daftar Transaksi'!F:F))</f>
        <v/>
      </c>
      <c r="F583" s="54" t="str">
        <f t="shared" si="27"/>
        <v/>
      </c>
      <c r="G583" s="54" t="str">
        <f t="shared" si="28"/>
        <v/>
      </c>
      <c r="H583" s="54" t="str">
        <f t="shared" si="29"/>
        <v/>
      </c>
    </row>
    <row r="584" spans="5:8" x14ac:dyDescent="0.25">
      <c r="E584" s="54" t="str">
        <f>IF(A584="","",SUMIF('Daftar Transaksi'!D:D,A584,'Daftar Transaksi'!F:F))</f>
        <v/>
      </c>
      <c r="F584" s="54" t="str">
        <f t="shared" si="27"/>
        <v/>
      </c>
      <c r="G584" s="54" t="str">
        <f t="shared" si="28"/>
        <v/>
      </c>
      <c r="H584" s="54" t="str">
        <f t="shared" si="29"/>
        <v/>
      </c>
    </row>
    <row r="585" spans="5:8" x14ac:dyDescent="0.25">
      <c r="E585" s="54" t="str">
        <f>IF(A585="","",SUMIF('Daftar Transaksi'!D:D,A585,'Daftar Transaksi'!F:F))</f>
        <v/>
      </c>
      <c r="F585" s="54" t="str">
        <f t="shared" si="27"/>
        <v/>
      </c>
      <c r="G585" s="54" t="str">
        <f t="shared" si="28"/>
        <v/>
      </c>
      <c r="H585" s="54" t="str">
        <f t="shared" si="29"/>
        <v/>
      </c>
    </row>
    <row r="586" spans="5:8" x14ac:dyDescent="0.25">
      <c r="E586" s="54" t="str">
        <f>IF(A586="","",SUMIF('Daftar Transaksi'!D:D,A586,'Daftar Transaksi'!F:F))</f>
        <v/>
      </c>
      <c r="F586" s="54" t="str">
        <f t="shared" si="27"/>
        <v/>
      </c>
      <c r="G586" s="54" t="str">
        <f t="shared" si="28"/>
        <v/>
      </c>
      <c r="H586" s="54" t="str">
        <f t="shared" si="29"/>
        <v/>
      </c>
    </row>
    <row r="587" spans="5:8" x14ac:dyDescent="0.25">
      <c r="E587" s="54" t="str">
        <f>IF(A587="","",SUMIF('Daftar Transaksi'!D:D,A587,'Daftar Transaksi'!F:F))</f>
        <v/>
      </c>
      <c r="F587" s="54" t="str">
        <f t="shared" si="27"/>
        <v/>
      </c>
      <c r="G587" s="54" t="str">
        <f t="shared" si="28"/>
        <v/>
      </c>
      <c r="H587" s="54" t="str">
        <f t="shared" si="29"/>
        <v/>
      </c>
    </row>
    <row r="588" spans="5:8" x14ac:dyDescent="0.25">
      <c r="E588" s="54" t="str">
        <f>IF(A588="","",SUMIF('Daftar Transaksi'!D:D,A588,'Daftar Transaksi'!F:F))</f>
        <v/>
      </c>
      <c r="F588" s="54" t="str">
        <f t="shared" si="27"/>
        <v/>
      </c>
      <c r="G588" s="54" t="str">
        <f t="shared" si="28"/>
        <v/>
      </c>
      <c r="H588" s="54" t="str">
        <f t="shared" si="29"/>
        <v/>
      </c>
    </row>
    <row r="589" spans="5:8" x14ac:dyDescent="0.25">
      <c r="E589" s="54" t="str">
        <f>IF(A589="","",SUMIF('Daftar Transaksi'!D:D,A589,'Daftar Transaksi'!F:F))</f>
        <v/>
      </c>
      <c r="F589" s="54" t="str">
        <f t="shared" si="27"/>
        <v/>
      </c>
      <c r="G589" s="54" t="str">
        <f t="shared" si="28"/>
        <v/>
      </c>
      <c r="H589" s="54" t="str">
        <f t="shared" si="29"/>
        <v/>
      </c>
    </row>
    <row r="590" spans="5:8" x14ac:dyDescent="0.25">
      <c r="E590" s="54" t="str">
        <f>IF(A590="","",SUMIF('Daftar Transaksi'!D:D,A590,'Daftar Transaksi'!F:F))</f>
        <v/>
      </c>
      <c r="F590" s="54" t="str">
        <f t="shared" si="27"/>
        <v/>
      </c>
      <c r="G590" s="54" t="str">
        <f t="shared" si="28"/>
        <v/>
      </c>
      <c r="H590" s="54" t="str">
        <f t="shared" si="29"/>
        <v/>
      </c>
    </row>
    <row r="591" spans="5:8" x14ac:dyDescent="0.25">
      <c r="E591" s="54" t="str">
        <f>IF(A591="","",SUMIF('Daftar Transaksi'!D:D,A591,'Daftar Transaksi'!F:F))</f>
        <v/>
      </c>
      <c r="F591" s="54" t="str">
        <f t="shared" si="27"/>
        <v/>
      </c>
      <c r="G591" s="54" t="str">
        <f t="shared" si="28"/>
        <v/>
      </c>
      <c r="H591" s="54" t="str">
        <f t="shared" si="29"/>
        <v/>
      </c>
    </row>
    <row r="592" spans="5:8" x14ac:dyDescent="0.25">
      <c r="E592" s="54" t="str">
        <f>IF(A592="","",SUMIF('Daftar Transaksi'!D:D,A592,'Daftar Transaksi'!F:F))</f>
        <v/>
      </c>
      <c r="F592" s="54" t="str">
        <f t="shared" si="27"/>
        <v/>
      </c>
      <c r="G592" s="54" t="str">
        <f t="shared" si="28"/>
        <v/>
      </c>
      <c r="H592" s="54" t="str">
        <f t="shared" si="29"/>
        <v/>
      </c>
    </row>
    <row r="593" spans="5:8" x14ac:dyDescent="0.25">
      <c r="E593" s="54" t="str">
        <f>IF(A593="","",SUMIF('Daftar Transaksi'!D:D,A593,'Daftar Transaksi'!F:F))</f>
        <v/>
      </c>
      <c r="F593" s="54" t="str">
        <f t="shared" si="27"/>
        <v/>
      </c>
      <c r="G593" s="54" t="str">
        <f t="shared" si="28"/>
        <v/>
      </c>
      <c r="H593" s="54" t="str">
        <f t="shared" si="29"/>
        <v/>
      </c>
    </row>
    <row r="594" spans="5:8" x14ac:dyDescent="0.25">
      <c r="E594" s="54" t="str">
        <f>IF(A594="","",SUMIF('Daftar Transaksi'!D:D,A594,'Daftar Transaksi'!F:F))</f>
        <v/>
      </c>
      <c r="F594" s="54" t="str">
        <f t="shared" si="27"/>
        <v/>
      </c>
      <c r="G594" s="54" t="str">
        <f t="shared" si="28"/>
        <v/>
      </c>
      <c r="H594" s="54" t="str">
        <f t="shared" si="29"/>
        <v/>
      </c>
    </row>
    <row r="595" spans="5:8" x14ac:dyDescent="0.25">
      <c r="E595" s="54" t="str">
        <f>IF(A595="","",SUMIF('Daftar Transaksi'!D:D,A595,'Daftar Transaksi'!F:F))</f>
        <v/>
      </c>
      <c r="F595" s="54" t="str">
        <f t="shared" si="27"/>
        <v/>
      </c>
      <c r="G595" s="54" t="str">
        <f t="shared" si="28"/>
        <v/>
      </c>
      <c r="H595" s="54" t="str">
        <f t="shared" si="29"/>
        <v/>
      </c>
    </row>
    <row r="596" spans="5:8" x14ac:dyDescent="0.25">
      <c r="E596" s="54" t="str">
        <f>IF(A596="","",SUMIF('Daftar Transaksi'!D:D,A596,'Daftar Transaksi'!F:F))</f>
        <v/>
      </c>
      <c r="F596" s="54" t="str">
        <f t="shared" si="27"/>
        <v/>
      </c>
      <c r="G596" s="54" t="str">
        <f t="shared" si="28"/>
        <v/>
      </c>
      <c r="H596" s="54" t="str">
        <f t="shared" si="29"/>
        <v/>
      </c>
    </row>
    <row r="597" spans="5:8" x14ac:dyDescent="0.25">
      <c r="E597" s="54" t="str">
        <f>IF(A597="","",SUMIF('Daftar Transaksi'!D:D,A597,'Daftar Transaksi'!F:F))</f>
        <v/>
      </c>
      <c r="F597" s="54" t="str">
        <f t="shared" si="27"/>
        <v/>
      </c>
      <c r="G597" s="54" t="str">
        <f t="shared" si="28"/>
        <v/>
      </c>
      <c r="H597" s="54" t="str">
        <f t="shared" si="29"/>
        <v/>
      </c>
    </row>
    <row r="598" spans="5:8" x14ac:dyDescent="0.25">
      <c r="E598" s="54" t="str">
        <f>IF(A598="","",SUMIF('Daftar Transaksi'!D:D,A598,'Daftar Transaksi'!F:F))</f>
        <v/>
      </c>
      <c r="F598" s="54" t="str">
        <f t="shared" si="27"/>
        <v/>
      </c>
      <c r="G598" s="54" t="str">
        <f t="shared" si="28"/>
        <v/>
      </c>
      <c r="H598" s="54" t="str">
        <f t="shared" si="29"/>
        <v/>
      </c>
    </row>
    <row r="599" spans="5:8" x14ac:dyDescent="0.25">
      <c r="E599" s="54" t="str">
        <f>IF(A599="","",SUMIF('Daftar Transaksi'!D:D,A599,'Daftar Transaksi'!F:F))</f>
        <v/>
      </c>
      <c r="F599" s="54" t="str">
        <f t="shared" si="27"/>
        <v/>
      </c>
      <c r="G599" s="54" t="str">
        <f t="shared" si="28"/>
        <v/>
      </c>
      <c r="H599" s="54" t="str">
        <f t="shared" si="29"/>
        <v/>
      </c>
    </row>
    <row r="600" spans="5:8" x14ac:dyDescent="0.25">
      <c r="E600" s="54" t="str">
        <f>IF(A600="","",SUMIF('Daftar Transaksi'!D:D,A600,'Daftar Transaksi'!F:F))</f>
        <v/>
      </c>
      <c r="F600" s="54" t="str">
        <f t="shared" si="27"/>
        <v/>
      </c>
      <c r="G600" s="54" t="str">
        <f t="shared" si="28"/>
        <v/>
      </c>
      <c r="H600" s="54" t="str">
        <f t="shared" si="29"/>
        <v/>
      </c>
    </row>
    <row r="601" spans="5:8" x14ac:dyDescent="0.25">
      <c r="E601" s="54" t="str">
        <f>IF(A601="","",SUMIF('Daftar Transaksi'!D:D,A601,'Daftar Transaksi'!F:F))</f>
        <v/>
      </c>
      <c r="F601" s="54" t="str">
        <f t="shared" si="27"/>
        <v/>
      </c>
      <c r="G601" s="54" t="str">
        <f t="shared" si="28"/>
        <v/>
      </c>
      <c r="H601" s="54" t="str">
        <f t="shared" si="29"/>
        <v/>
      </c>
    </row>
    <row r="602" spans="5:8" x14ac:dyDescent="0.25">
      <c r="E602" s="54" t="str">
        <f>IF(A602="","",SUMIF('Daftar Transaksi'!D:D,A602,'Daftar Transaksi'!F:F))</f>
        <v/>
      </c>
      <c r="F602" s="54" t="str">
        <f t="shared" si="27"/>
        <v/>
      </c>
      <c r="G602" s="54" t="str">
        <f t="shared" si="28"/>
        <v/>
      </c>
      <c r="H602" s="54" t="str">
        <f t="shared" si="29"/>
        <v/>
      </c>
    </row>
    <row r="603" spans="5:8" x14ac:dyDescent="0.25">
      <c r="E603" s="54" t="str">
        <f>IF(A603="","",SUMIF('Daftar Transaksi'!D:D,A603,'Daftar Transaksi'!F:F))</f>
        <v/>
      </c>
      <c r="F603" s="54" t="str">
        <f t="shared" si="27"/>
        <v/>
      </c>
      <c r="G603" s="54" t="str">
        <f t="shared" si="28"/>
        <v/>
      </c>
      <c r="H603" s="54" t="str">
        <f t="shared" si="29"/>
        <v/>
      </c>
    </row>
    <row r="604" spans="5:8" x14ac:dyDescent="0.25">
      <c r="E604" s="54" t="str">
        <f>IF(A604="","",SUMIF('Daftar Transaksi'!D:D,A604,'Daftar Transaksi'!F:F))</f>
        <v/>
      </c>
      <c r="F604" s="54" t="str">
        <f t="shared" si="27"/>
        <v/>
      </c>
      <c r="G604" s="54" t="str">
        <f t="shared" si="28"/>
        <v/>
      </c>
      <c r="H604" s="54" t="str">
        <f t="shared" si="29"/>
        <v/>
      </c>
    </row>
    <row r="605" spans="5:8" x14ac:dyDescent="0.25">
      <c r="E605" s="54" t="str">
        <f>IF(A605="","",SUMIF('Daftar Transaksi'!D:D,A605,'Daftar Transaksi'!F:F))</f>
        <v/>
      </c>
      <c r="F605" s="54" t="str">
        <f t="shared" si="27"/>
        <v/>
      </c>
      <c r="G605" s="54" t="str">
        <f t="shared" si="28"/>
        <v/>
      </c>
      <c r="H605" s="54" t="str">
        <f t="shared" si="29"/>
        <v/>
      </c>
    </row>
    <row r="606" spans="5:8" x14ac:dyDescent="0.25">
      <c r="E606" s="54" t="str">
        <f>IF(A606="","",SUMIF('Daftar Transaksi'!D:D,A606,'Daftar Transaksi'!F:F))</f>
        <v/>
      </c>
      <c r="F606" s="54" t="str">
        <f t="shared" si="27"/>
        <v/>
      </c>
      <c r="G606" s="54" t="str">
        <f t="shared" si="28"/>
        <v/>
      </c>
      <c r="H606" s="54" t="str">
        <f t="shared" si="29"/>
        <v/>
      </c>
    </row>
    <row r="607" spans="5:8" x14ac:dyDescent="0.25">
      <c r="E607" s="54" t="str">
        <f>IF(A607="","",SUMIF('Daftar Transaksi'!D:D,A607,'Daftar Transaksi'!F:F))</f>
        <v/>
      </c>
      <c r="F607" s="54" t="str">
        <f t="shared" si="27"/>
        <v/>
      </c>
      <c r="G607" s="54" t="str">
        <f t="shared" si="28"/>
        <v/>
      </c>
      <c r="H607" s="54" t="str">
        <f t="shared" si="29"/>
        <v/>
      </c>
    </row>
    <row r="608" spans="5:8" x14ac:dyDescent="0.25">
      <c r="E608" s="54" t="str">
        <f>IF(A608="","",SUMIF('Daftar Transaksi'!D:D,A608,'Daftar Transaksi'!F:F))</f>
        <v/>
      </c>
      <c r="F608" s="54" t="str">
        <f t="shared" si="27"/>
        <v/>
      </c>
      <c r="G608" s="54" t="str">
        <f t="shared" si="28"/>
        <v/>
      </c>
      <c r="H608" s="54" t="str">
        <f t="shared" si="29"/>
        <v/>
      </c>
    </row>
    <row r="609" spans="5:8" x14ac:dyDescent="0.25">
      <c r="E609" s="54" t="str">
        <f>IF(A609="","",SUMIF('Daftar Transaksi'!D:D,A609,'Daftar Transaksi'!F:F))</f>
        <v/>
      </c>
      <c r="F609" s="54" t="str">
        <f t="shared" si="27"/>
        <v/>
      </c>
      <c r="G609" s="54" t="str">
        <f t="shared" si="28"/>
        <v/>
      </c>
      <c r="H609" s="54" t="str">
        <f t="shared" si="29"/>
        <v/>
      </c>
    </row>
    <row r="610" spans="5:8" x14ac:dyDescent="0.25">
      <c r="E610" s="54" t="str">
        <f>IF(A610="","",SUMIF('Daftar Transaksi'!D:D,A610,'Daftar Transaksi'!F:F))</f>
        <v/>
      </c>
      <c r="F610" s="54" t="str">
        <f t="shared" si="27"/>
        <v/>
      </c>
      <c r="G610" s="54" t="str">
        <f t="shared" si="28"/>
        <v/>
      </c>
      <c r="H610" s="54" t="str">
        <f t="shared" si="29"/>
        <v/>
      </c>
    </row>
    <row r="611" spans="5:8" x14ac:dyDescent="0.25">
      <c r="E611" s="54" t="str">
        <f>IF(A611="","",SUMIF('Daftar Transaksi'!D:D,A611,'Daftar Transaksi'!F:F))</f>
        <v/>
      </c>
      <c r="F611" s="54" t="str">
        <f t="shared" si="27"/>
        <v/>
      </c>
      <c r="G611" s="54" t="str">
        <f t="shared" si="28"/>
        <v/>
      </c>
      <c r="H611" s="54" t="str">
        <f t="shared" si="29"/>
        <v/>
      </c>
    </row>
    <row r="612" spans="5:8" x14ac:dyDescent="0.25">
      <c r="E612" s="54" t="str">
        <f>IF(A612="","",SUMIF('Daftar Transaksi'!D:D,A612,'Daftar Transaksi'!F:F))</f>
        <v/>
      </c>
      <c r="F612" s="54" t="str">
        <f t="shared" si="27"/>
        <v/>
      </c>
      <c r="G612" s="54" t="str">
        <f t="shared" si="28"/>
        <v/>
      </c>
      <c r="H612" s="54" t="str">
        <f t="shared" si="29"/>
        <v/>
      </c>
    </row>
    <row r="613" spans="5:8" x14ac:dyDescent="0.25">
      <c r="E613" s="54" t="str">
        <f>IF(A613="","",SUMIF('Daftar Transaksi'!D:D,A613,'Daftar Transaksi'!F:F))</f>
        <v/>
      </c>
      <c r="F613" s="54" t="str">
        <f t="shared" si="27"/>
        <v/>
      </c>
      <c r="G613" s="54" t="str">
        <f t="shared" si="28"/>
        <v/>
      </c>
      <c r="H613" s="54" t="str">
        <f t="shared" si="29"/>
        <v/>
      </c>
    </row>
    <row r="614" spans="5:8" x14ac:dyDescent="0.25">
      <c r="E614" s="54" t="str">
        <f>IF(A614="","",SUMIF('Daftar Transaksi'!D:D,A614,'Daftar Transaksi'!F:F))</f>
        <v/>
      </c>
      <c r="F614" s="54" t="str">
        <f t="shared" si="27"/>
        <v/>
      </c>
      <c r="G614" s="54" t="str">
        <f t="shared" si="28"/>
        <v/>
      </c>
      <c r="H614" s="54" t="str">
        <f t="shared" si="29"/>
        <v/>
      </c>
    </row>
    <row r="615" spans="5:8" x14ac:dyDescent="0.25">
      <c r="E615" s="54" t="str">
        <f>IF(A615="","",SUMIF('Daftar Transaksi'!D:D,A615,'Daftar Transaksi'!F:F))</f>
        <v/>
      </c>
      <c r="F615" s="54" t="str">
        <f t="shared" si="27"/>
        <v/>
      </c>
      <c r="G615" s="54" t="str">
        <f t="shared" si="28"/>
        <v/>
      </c>
      <c r="H615" s="54" t="str">
        <f t="shared" si="29"/>
        <v/>
      </c>
    </row>
    <row r="616" spans="5:8" x14ac:dyDescent="0.25">
      <c r="E616" s="54" t="str">
        <f>IF(A616="","",SUMIF('Daftar Transaksi'!D:D,A616,'Daftar Transaksi'!F:F))</f>
        <v/>
      </c>
      <c r="F616" s="54" t="str">
        <f t="shared" si="27"/>
        <v/>
      </c>
      <c r="G616" s="54" t="str">
        <f t="shared" si="28"/>
        <v/>
      </c>
      <c r="H616" s="54" t="str">
        <f t="shared" si="29"/>
        <v/>
      </c>
    </row>
    <row r="617" spans="5:8" x14ac:dyDescent="0.25">
      <c r="E617" s="54" t="str">
        <f>IF(A617="","",SUMIF('Daftar Transaksi'!D:D,A617,'Daftar Transaksi'!F:F))</f>
        <v/>
      </c>
      <c r="F617" s="54" t="str">
        <f t="shared" si="27"/>
        <v/>
      </c>
      <c r="G617" s="54" t="str">
        <f t="shared" si="28"/>
        <v/>
      </c>
      <c r="H617" s="54" t="str">
        <f t="shared" si="29"/>
        <v/>
      </c>
    </row>
    <row r="618" spans="5:8" x14ac:dyDescent="0.25">
      <c r="E618" s="54" t="str">
        <f>IF(A618="","",SUMIF('Daftar Transaksi'!D:D,A618,'Daftar Transaksi'!F:F))</f>
        <v/>
      </c>
      <c r="F618" s="54" t="str">
        <f t="shared" si="27"/>
        <v/>
      </c>
      <c r="G618" s="54" t="str">
        <f t="shared" si="28"/>
        <v/>
      </c>
      <c r="H618" s="54" t="str">
        <f t="shared" si="29"/>
        <v/>
      </c>
    </row>
    <row r="619" spans="5:8" x14ac:dyDescent="0.25">
      <c r="E619" s="54" t="str">
        <f>IF(A619="","",SUMIF('Daftar Transaksi'!D:D,A619,'Daftar Transaksi'!F:F))</f>
        <v/>
      </c>
      <c r="F619" s="54" t="str">
        <f t="shared" si="27"/>
        <v/>
      </c>
      <c r="G619" s="54" t="str">
        <f t="shared" si="28"/>
        <v/>
      </c>
      <c r="H619" s="54" t="str">
        <f t="shared" si="29"/>
        <v/>
      </c>
    </row>
    <row r="620" spans="5:8" x14ac:dyDescent="0.25">
      <c r="E620" s="54" t="str">
        <f>IF(A620="","",SUMIF('Daftar Transaksi'!D:D,A620,'Daftar Transaksi'!F:F))</f>
        <v/>
      </c>
      <c r="F620" s="54" t="str">
        <f t="shared" si="27"/>
        <v/>
      </c>
      <c r="G620" s="54" t="str">
        <f t="shared" si="28"/>
        <v/>
      </c>
      <c r="H620" s="54" t="str">
        <f t="shared" si="29"/>
        <v/>
      </c>
    </row>
    <row r="621" spans="5:8" x14ac:dyDescent="0.25">
      <c r="E621" s="54" t="str">
        <f>IF(A621="","",SUMIF('Daftar Transaksi'!D:D,A621,'Daftar Transaksi'!F:F))</f>
        <v/>
      </c>
      <c r="F621" s="54" t="str">
        <f t="shared" si="27"/>
        <v/>
      </c>
      <c r="G621" s="54" t="str">
        <f t="shared" si="28"/>
        <v/>
      </c>
      <c r="H621" s="54" t="str">
        <f t="shared" si="29"/>
        <v/>
      </c>
    </row>
    <row r="622" spans="5:8" x14ac:dyDescent="0.25">
      <c r="E622" s="54" t="str">
        <f>IF(A622="","",SUMIF('Daftar Transaksi'!D:D,A622,'Daftar Transaksi'!F:F))</f>
        <v/>
      </c>
      <c r="F622" s="54" t="str">
        <f t="shared" si="27"/>
        <v/>
      </c>
      <c r="G622" s="54" t="str">
        <f t="shared" si="28"/>
        <v/>
      </c>
      <c r="H622" s="54" t="str">
        <f t="shared" si="29"/>
        <v/>
      </c>
    </row>
    <row r="623" spans="5:8" x14ac:dyDescent="0.25">
      <c r="E623" s="54" t="str">
        <f>IF(A623="","",SUMIF('Daftar Transaksi'!D:D,A623,'Daftar Transaksi'!F:F))</f>
        <v/>
      </c>
      <c r="F623" s="54" t="str">
        <f t="shared" si="27"/>
        <v/>
      </c>
      <c r="G623" s="54" t="str">
        <f t="shared" si="28"/>
        <v/>
      </c>
      <c r="H623" s="54" t="str">
        <f t="shared" si="29"/>
        <v/>
      </c>
    </row>
    <row r="624" spans="5:8" x14ac:dyDescent="0.25">
      <c r="E624" s="54" t="str">
        <f>IF(A624="","",SUMIF('Daftar Transaksi'!D:D,A624,'Daftar Transaksi'!F:F))</f>
        <v/>
      </c>
      <c r="F624" s="54" t="str">
        <f t="shared" si="27"/>
        <v/>
      </c>
      <c r="G624" s="54" t="str">
        <f t="shared" si="28"/>
        <v/>
      </c>
      <c r="H624" s="54" t="str">
        <f t="shared" si="29"/>
        <v/>
      </c>
    </row>
    <row r="625" spans="5:8" x14ac:dyDescent="0.25">
      <c r="E625" s="54" t="str">
        <f>IF(A625="","",SUMIF('Daftar Transaksi'!D:D,A625,'Daftar Transaksi'!F:F))</f>
        <v/>
      </c>
      <c r="F625" s="54" t="str">
        <f t="shared" si="27"/>
        <v/>
      </c>
      <c r="G625" s="54" t="str">
        <f t="shared" si="28"/>
        <v/>
      </c>
      <c r="H625" s="54" t="str">
        <f t="shared" si="29"/>
        <v/>
      </c>
    </row>
    <row r="626" spans="5:8" x14ac:dyDescent="0.25">
      <c r="E626" s="54" t="str">
        <f>IF(A626="","",SUMIF('Daftar Transaksi'!D:D,A626,'Daftar Transaksi'!F:F))</f>
        <v/>
      </c>
      <c r="F626" s="54" t="str">
        <f t="shared" si="27"/>
        <v/>
      </c>
      <c r="G626" s="54" t="str">
        <f t="shared" si="28"/>
        <v/>
      </c>
      <c r="H626" s="54" t="str">
        <f t="shared" si="29"/>
        <v/>
      </c>
    </row>
    <row r="627" spans="5:8" x14ac:dyDescent="0.25">
      <c r="E627" s="54" t="str">
        <f>IF(A627="","",SUMIF('Daftar Transaksi'!D:D,A627,'Daftar Transaksi'!F:F))</f>
        <v/>
      </c>
      <c r="F627" s="54" t="str">
        <f t="shared" si="27"/>
        <v/>
      </c>
      <c r="G627" s="54" t="str">
        <f t="shared" si="28"/>
        <v/>
      </c>
      <c r="H627" s="54" t="str">
        <f t="shared" si="29"/>
        <v/>
      </c>
    </row>
    <row r="628" spans="5:8" x14ac:dyDescent="0.25">
      <c r="E628" s="54" t="str">
        <f>IF(A628="","",SUMIF('Daftar Transaksi'!D:D,A628,'Daftar Transaksi'!F:F))</f>
        <v/>
      </c>
      <c r="F628" s="54" t="str">
        <f t="shared" si="27"/>
        <v/>
      </c>
      <c r="G628" s="54" t="str">
        <f t="shared" si="28"/>
        <v/>
      </c>
      <c r="H628" s="54" t="str">
        <f t="shared" si="29"/>
        <v/>
      </c>
    </row>
    <row r="629" spans="5:8" x14ac:dyDescent="0.25">
      <c r="E629" s="54" t="str">
        <f>IF(A629="","",SUMIF('Daftar Transaksi'!D:D,A629,'Daftar Transaksi'!F:F))</f>
        <v/>
      </c>
      <c r="F629" s="54" t="str">
        <f t="shared" si="27"/>
        <v/>
      </c>
      <c r="G629" s="54" t="str">
        <f t="shared" si="28"/>
        <v/>
      </c>
      <c r="H629" s="54" t="str">
        <f t="shared" si="29"/>
        <v/>
      </c>
    </row>
    <row r="630" spans="5:8" x14ac:dyDescent="0.25">
      <c r="E630" s="54" t="str">
        <f>IF(A630="","",SUMIF('Daftar Transaksi'!D:D,A630,'Daftar Transaksi'!F:F))</f>
        <v/>
      </c>
      <c r="F630" s="54" t="str">
        <f t="shared" si="27"/>
        <v/>
      </c>
      <c r="G630" s="54" t="str">
        <f t="shared" si="28"/>
        <v/>
      </c>
      <c r="H630" s="54" t="str">
        <f t="shared" si="29"/>
        <v/>
      </c>
    </row>
    <row r="631" spans="5:8" x14ac:dyDescent="0.25">
      <c r="E631" s="54" t="str">
        <f>IF(A631="","",SUMIF('Daftar Transaksi'!D:D,A631,'Daftar Transaksi'!F:F))</f>
        <v/>
      </c>
      <c r="F631" s="54" t="str">
        <f t="shared" si="27"/>
        <v/>
      </c>
      <c r="G631" s="54" t="str">
        <f t="shared" si="28"/>
        <v/>
      </c>
      <c r="H631" s="54" t="str">
        <f t="shared" si="29"/>
        <v/>
      </c>
    </row>
    <row r="632" spans="5:8" x14ac:dyDescent="0.25">
      <c r="E632" s="54" t="str">
        <f>IF(A632="","",SUMIF('Daftar Transaksi'!D:D,A632,'Daftar Transaksi'!F:F))</f>
        <v/>
      </c>
      <c r="F632" s="54" t="str">
        <f t="shared" si="27"/>
        <v/>
      </c>
      <c r="G632" s="54" t="str">
        <f t="shared" si="28"/>
        <v/>
      </c>
      <c r="H632" s="54" t="str">
        <f t="shared" si="29"/>
        <v/>
      </c>
    </row>
    <row r="633" spans="5:8" x14ac:dyDescent="0.25">
      <c r="E633" s="54" t="str">
        <f>IF(A633="","",SUMIF('Daftar Transaksi'!D:D,A633,'Daftar Transaksi'!F:F))</f>
        <v/>
      </c>
      <c r="F633" s="54" t="str">
        <f t="shared" si="27"/>
        <v/>
      </c>
      <c r="G633" s="54" t="str">
        <f t="shared" si="28"/>
        <v/>
      </c>
      <c r="H633" s="54" t="str">
        <f t="shared" si="29"/>
        <v/>
      </c>
    </row>
    <row r="634" spans="5:8" x14ac:dyDescent="0.25">
      <c r="E634" s="54" t="str">
        <f>IF(A634="","",SUMIF('Daftar Transaksi'!D:D,A634,'Daftar Transaksi'!F:F))</f>
        <v/>
      </c>
      <c r="F634" s="54" t="str">
        <f t="shared" si="27"/>
        <v/>
      </c>
      <c r="G634" s="54" t="str">
        <f t="shared" si="28"/>
        <v/>
      </c>
      <c r="H634" s="54" t="str">
        <f t="shared" si="29"/>
        <v/>
      </c>
    </row>
    <row r="635" spans="5:8" x14ac:dyDescent="0.25">
      <c r="E635" s="54" t="str">
        <f>IF(A635="","",SUMIF('Daftar Transaksi'!D:D,A635,'Daftar Transaksi'!F:F))</f>
        <v/>
      </c>
      <c r="F635" s="54" t="str">
        <f t="shared" si="27"/>
        <v/>
      </c>
      <c r="G635" s="54" t="str">
        <f t="shared" si="28"/>
        <v/>
      </c>
      <c r="H635" s="54" t="str">
        <f t="shared" si="29"/>
        <v/>
      </c>
    </row>
    <row r="636" spans="5:8" x14ac:dyDescent="0.25">
      <c r="E636" s="54" t="str">
        <f>IF(A636="","",SUMIF('Daftar Transaksi'!D:D,A636,'Daftar Transaksi'!F:F))</f>
        <v/>
      </c>
      <c r="F636" s="54" t="str">
        <f t="shared" si="27"/>
        <v/>
      </c>
      <c r="G636" s="54" t="str">
        <f t="shared" si="28"/>
        <v/>
      </c>
      <c r="H636" s="54" t="str">
        <f t="shared" si="29"/>
        <v/>
      </c>
    </row>
    <row r="637" spans="5:8" x14ac:dyDescent="0.25">
      <c r="E637" s="54" t="str">
        <f>IF(A637="","",SUMIF('Daftar Transaksi'!D:D,A637,'Daftar Transaksi'!F:F))</f>
        <v/>
      </c>
      <c r="F637" s="54" t="str">
        <f t="shared" si="27"/>
        <v/>
      </c>
      <c r="G637" s="54" t="str">
        <f t="shared" si="28"/>
        <v/>
      </c>
      <c r="H637" s="54" t="str">
        <f t="shared" si="29"/>
        <v/>
      </c>
    </row>
    <row r="638" spans="5:8" x14ac:dyDescent="0.25">
      <c r="E638" s="54" t="str">
        <f>IF(A638="","",SUMIF('Daftar Transaksi'!D:D,A638,'Daftar Transaksi'!F:F))</f>
        <v/>
      </c>
      <c r="F638" s="54" t="str">
        <f t="shared" si="27"/>
        <v/>
      </c>
      <c r="G638" s="54" t="str">
        <f t="shared" si="28"/>
        <v/>
      </c>
      <c r="H638" s="54" t="str">
        <f t="shared" si="29"/>
        <v/>
      </c>
    </row>
    <row r="639" spans="5:8" x14ac:dyDescent="0.25">
      <c r="E639" s="54" t="str">
        <f>IF(A639="","",SUMIF('Daftar Transaksi'!D:D,A639,'Daftar Transaksi'!F:F))</f>
        <v/>
      </c>
      <c r="F639" s="54" t="str">
        <f t="shared" ref="F639:F702" si="30">IF(A639="","",D639-E639)</f>
        <v/>
      </c>
      <c r="G639" s="54" t="str">
        <f t="shared" ref="G639:G702" si="31">IF(A639="","",C639*E639)</f>
        <v/>
      </c>
      <c r="H639" s="54" t="str">
        <f t="shared" ref="H639:H702" si="32">IF(A639="","",G639-(B639*E639))</f>
        <v/>
      </c>
    </row>
    <row r="640" spans="5:8" x14ac:dyDescent="0.25">
      <c r="E640" s="54" t="str">
        <f>IF(A640="","",SUMIF('Daftar Transaksi'!D:D,A640,'Daftar Transaksi'!F:F))</f>
        <v/>
      </c>
      <c r="F640" s="54" t="str">
        <f t="shared" si="30"/>
        <v/>
      </c>
      <c r="G640" s="54" t="str">
        <f t="shared" si="31"/>
        <v/>
      </c>
      <c r="H640" s="54" t="str">
        <f t="shared" si="32"/>
        <v/>
      </c>
    </row>
    <row r="641" spans="5:8" x14ac:dyDescent="0.25">
      <c r="E641" s="54" t="str">
        <f>IF(A641="","",SUMIF('Daftar Transaksi'!D:D,A641,'Daftar Transaksi'!F:F))</f>
        <v/>
      </c>
      <c r="F641" s="54" t="str">
        <f t="shared" si="30"/>
        <v/>
      </c>
      <c r="G641" s="54" t="str">
        <f t="shared" si="31"/>
        <v/>
      </c>
      <c r="H641" s="54" t="str">
        <f t="shared" si="32"/>
        <v/>
      </c>
    </row>
    <row r="642" spans="5:8" x14ac:dyDescent="0.25">
      <c r="E642" s="54" t="str">
        <f>IF(A642="","",SUMIF('Daftar Transaksi'!D:D,A642,'Daftar Transaksi'!F:F))</f>
        <v/>
      </c>
      <c r="F642" s="54" t="str">
        <f t="shared" si="30"/>
        <v/>
      </c>
      <c r="G642" s="54" t="str">
        <f t="shared" si="31"/>
        <v/>
      </c>
      <c r="H642" s="54" t="str">
        <f t="shared" si="32"/>
        <v/>
      </c>
    </row>
    <row r="643" spans="5:8" x14ac:dyDescent="0.25">
      <c r="E643" s="54" t="str">
        <f>IF(A643="","",SUMIF('Daftar Transaksi'!D:D,A643,'Daftar Transaksi'!F:F))</f>
        <v/>
      </c>
      <c r="F643" s="54" t="str">
        <f t="shared" si="30"/>
        <v/>
      </c>
      <c r="G643" s="54" t="str">
        <f t="shared" si="31"/>
        <v/>
      </c>
      <c r="H643" s="54" t="str">
        <f t="shared" si="32"/>
        <v/>
      </c>
    </row>
    <row r="644" spans="5:8" x14ac:dyDescent="0.25">
      <c r="E644" s="54" t="str">
        <f>IF(A644="","",SUMIF('Daftar Transaksi'!D:D,A644,'Daftar Transaksi'!F:F))</f>
        <v/>
      </c>
      <c r="F644" s="54" t="str">
        <f t="shared" si="30"/>
        <v/>
      </c>
      <c r="G644" s="54" t="str">
        <f t="shared" si="31"/>
        <v/>
      </c>
      <c r="H644" s="54" t="str">
        <f t="shared" si="32"/>
        <v/>
      </c>
    </row>
    <row r="645" spans="5:8" x14ac:dyDescent="0.25">
      <c r="E645" s="54" t="str">
        <f>IF(A645="","",SUMIF('Daftar Transaksi'!D:D,A645,'Daftar Transaksi'!F:F))</f>
        <v/>
      </c>
      <c r="F645" s="54" t="str">
        <f t="shared" si="30"/>
        <v/>
      </c>
      <c r="G645" s="54" t="str">
        <f t="shared" si="31"/>
        <v/>
      </c>
      <c r="H645" s="54" t="str">
        <f t="shared" si="32"/>
        <v/>
      </c>
    </row>
    <row r="646" spans="5:8" x14ac:dyDescent="0.25">
      <c r="E646" s="54" t="str">
        <f>IF(A646="","",SUMIF('Daftar Transaksi'!D:D,A646,'Daftar Transaksi'!F:F))</f>
        <v/>
      </c>
      <c r="F646" s="54" t="str">
        <f t="shared" si="30"/>
        <v/>
      </c>
      <c r="G646" s="54" t="str">
        <f t="shared" si="31"/>
        <v/>
      </c>
      <c r="H646" s="54" t="str">
        <f t="shared" si="32"/>
        <v/>
      </c>
    </row>
    <row r="647" spans="5:8" x14ac:dyDescent="0.25">
      <c r="E647" s="54" t="str">
        <f>IF(A647="","",SUMIF('Daftar Transaksi'!D:D,A647,'Daftar Transaksi'!F:F))</f>
        <v/>
      </c>
      <c r="F647" s="54" t="str">
        <f t="shared" si="30"/>
        <v/>
      </c>
      <c r="G647" s="54" t="str">
        <f t="shared" si="31"/>
        <v/>
      </c>
      <c r="H647" s="54" t="str">
        <f t="shared" si="32"/>
        <v/>
      </c>
    </row>
    <row r="648" spans="5:8" x14ac:dyDescent="0.25">
      <c r="E648" s="54" t="str">
        <f>IF(A648="","",SUMIF('Daftar Transaksi'!D:D,A648,'Daftar Transaksi'!F:F))</f>
        <v/>
      </c>
      <c r="F648" s="54" t="str">
        <f t="shared" si="30"/>
        <v/>
      </c>
      <c r="G648" s="54" t="str">
        <f t="shared" si="31"/>
        <v/>
      </c>
      <c r="H648" s="54" t="str">
        <f t="shared" si="32"/>
        <v/>
      </c>
    </row>
    <row r="649" spans="5:8" x14ac:dyDescent="0.25">
      <c r="E649" s="54" t="str">
        <f>IF(A649="","",SUMIF('Daftar Transaksi'!D:D,A649,'Daftar Transaksi'!F:F))</f>
        <v/>
      </c>
      <c r="F649" s="54" t="str">
        <f t="shared" si="30"/>
        <v/>
      </c>
      <c r="G649" s="54" t="str">
        <f t="shared" si="31"/>
        <v/>
      </c>
      <c r="H649" s="54" t="str">
        <f t="shared" si="32"/>
        <v/>
      </c>
    </row>
    <row r="650" spans="5:8" x14ac:dyDescent="0.25">
      <c r="E650" s="54" t="str">
        <f>IF(A650="","",SUMIF('Daftar Transaksi'!D:D,A650,'Daftar Transaksi'!F:F))</f>
        <v/>
      </c>
      <c r="F650" s="54" t="str">
        <f t="shared" si="30"/>
        <v/>
      </c>
      <c r="G650" s="54" t="str">
        <f t="shared" si="31"/>
        <v/>
      </c>
      <c r="H650" s="54" t="str">
        <f t="shared" si="32"/>
        <v/>
      </c>
    </row>
    <row r="651" spans="5:8" x14ac:dyDescent="0.25">
      <c r="E651" s="54" t="str">
        <f>IF(A651="","",SUMIF('Daftar Transaksi'!D:D,A651,'Daftar Transaksi'!F:F))</f>
        <v/>
      </c>
      <c r="F651" s="54" t="str">
        <f t="shared" si="30"/>
        <v/>
      </c>
      <c r="G651" s="54" t="str">
        <f t="shared" si="31"/>
        <v/>
      </c>
      <c r="H651" s="54" t="str">
        <f t="shared" si="32"/>
        <v/>
      </c>
    </row>
    <row r="652" spans="5:8" x14ac:dyDescent="0.25">
      <c r="E652" s="54" t="str">
        <f>IF(A652="","",SUMIF('Daftar Transaksi'!D:D,A652,'Daftar Transaksi'!F:F))</f>
        <v/>
      </c>
      <c r="F652" s="54" t="str">
        <f t="shared" si="30"/>
        <v/>
      </c>
      <c r="G652" s="54" t="str">
        <f t="shared" si="31"/>
        <v/>
      </c>
      <c r="H652" s="54" t="str">
        <f t="shared" si="32"/>
        <v/>
      </c>
    </row>
    <row r="653" spans="5:8" x14ac:dyDescent="0.25">
      <c r="E653" s="54" t="str">
        <f>IF(A653="","",SUMIF('Daftar Transaksi'!D:D,A653,'Daftar Transaksi'!F:F))</f>
        <v/>
      </c>
      <c r="F653" s="54" t="str">
        <f t="shared" si="30"/>
        <v/>
      </c>
      <c r="G653" s="54" t="str">
        <f t="shared" si="31"/>
        <v/>
      </c>
      <c r="H653" s="54" t="str">
        <f t="shared" si="32"/>
        <v/>
      </c>
    </row>
    <row r="654" spans="5:8" x14ac:dyDescent="0.25">
      <c r="E654" s="54" t="str">
        <f>IF(A654="","",SUMIF('Daftar Transaksi'!D:D,A654,'Daftar Transaksi'!F:F))</f>
        <v/>
      </c>
      <c r="F654" s="54" t="str">
        <f t="shared" si="30"/>
        <v/>
      </c>
      <c r="G654" s="54" t="str">
        <f t="shared" si="31"/>
        <v/>
      </c>
      <c r="H654" s="54" t="str">
        <f t="shared" si="32"/>
        <v/>
      </c>
    </row>
    <row r="655" spans="5:8" x14ac:dyDescent="0.25">
      <c r="E655" s="54" t="str">
        <f>IF(A655="","",SUMIF('Daftar Transaksi'!D:D,A655,'Daftar Transaksi'!F:F))</f>
        <v/>
      </c>
      <c r="F655" s="54" t="str">
        <f t="shared" si="30"/>
        <v/>
      </c>
      <c r="G655" s="54" t="str">
        <f t="shared" si="31"/>
        <v/>
      </c>
      <c r="H655" s="54" t="str">
        <f t="shared" si="32"/>
        <v/>
      </c>
    </row>
    <row r="656" spans="5:8" x14ac:dyDescent="0.25">
      <c r="E656" s="54" t="str">
        <f>IF(A656="","",SUMIF('Daftar Transaksi'!D:D,A656,'Daftar Transaksi'!F:F))</f>
        <v/>
      </c>
      <c r="F656" s="54" t="str">
        <f t="shared" si="30"/>
        <v/>
      </c>
      <c r="G656" s="54" t="str">
        <f t="shared" si="31"/>
        <v/>
      </c>
      <c r="H656" s="54" t="str">
        <f t="shared" si="32"/>
        <v/>
      </c>
    </row>
    <row r="657" spans="5:8" x14ac:dyDescent="0.25">
      <c r="E657" s="54" t="str">
        <f>IF(A657="","",SUMIF('Daftar Transaksi'!D:D,A657,'Daftar Transaksi'!F:F))</f>
        <v/>
      </c>
      <c r="F657" s="54" t="str">
        <f t="shared" si="30"/>
        <v/>
      </c>
      <c r="G657" s="54" t="str">
        <f t="shared" si="31"/>
        <v/>
      </c>
      <c r="H657" s="54" t="str">
        <f t="shared" si="32"/>
        <v/>
      </c>
    </row>
    <row r="658" spans="5:8" x14ac:dyDescent="0.25">
      <c r="E658" s="54" t="str">
        <f>IF(A658="","",SUMIF('Daftar Transaksi'!D:D,A658,'Daftar Transaksi'!F:F))</f>
        <v/>
      </c>
      <c r="F658" s="54" t="str">
        <f t="shared" si="30"/>
        <v/>
      </c>
      <c r="G658" s="54" t="str">
        <f t="shared" si="31"/>
        <v/>
      </c>
      <c r="H658" s="54" t="str">
        <f t="shared" si="32"/>
        <v/>
      </c>
    </row>
    <row r="659" spans="5:8" x14ac:dyDescent="0.25">
      <c r="E659" s="54" t="str">
        <f>IF(A659="","",SUMIF('Daftar Transaksi'!D:D,A659,'Daftar Transaksi'!F:F))</f>
        <v/>
      </c>
      <c r="F659" s="54" t="str">
        <f t="shared" si="30"/>
        <v/>
      </c>
      <c r="G659" s="54" t="str">
        <f t="shared" si="31"/>
        <v/>
      </c>
      <c r="H659" s="54" t="str">
        <f t="shared" si="32"/>
        <v/>
      </c>
    </row>
    <row r="660" spans="5:8" x14ac:dyDescent="0.25">
      <c r="E660" s="54" t="str">
        <f>IF(A660="","",SUMIF('Daftar Transaksi'!D:D,A660,'Daftar Transaksi'!F:F))</f>
        <v/>
      </c>
      <c r="F660" s="54" t="str">
        <f t="shared" si="30"/>
        <v/>
      </c>
      <c r="G660" s="54" t="str">
        <f t="shared" si="31"/>
        <v/>
      </c>
      <c r="H660" s="54" t="str">
        <f t="shared" si="32"/>
        <v/>
      </c>
    </row>
    <row r="661" spans="5:8" x14ac:dyDescent="0.25">
      <c r="E661" s="54" t="str">
        <f>IF(A661="","",SUMIF('Daftar Transaksi'!D:D,A661,'Daftar Transaksi'!F:F))</f>
        <v/>
      </c>
      <c r="F661" s="54" t="str">
        <f t="shared" si="30"/>
        <v/>
      </c>
      <c r="G661" s="54" t="str">
        <f t="shared" si="31"/>
        <v/>
      </c>
      <c r="H661" s="54" t="str">
        <f t="shared" si="32"/>
        <v/>
      </c>
    </row>
    <row r="662" spans="5:8" x14ac:dyDescent="0.25">
      <c r="E662" s="54" t="str">
        <f>IF(A662="","",SUMIF('Daftar Transaksi'!D:D,A662,'Daftar Transaksi'!F:F))</f>
        <v/>
      </c>
      <c r="F662" s="54" t="str">
        <f t="shared" si="30"/>
        <v/>
      </c>
      <c r="G662" s="54" t="str">
        <f t="shared" si="31"/>
        <v/>
      </c>
      <c r="H662" s="54" t="str">
        <f t="shared" si="32"/>
        <v/>
      </c>
    </row>
    <row r="663" spans="5:8" x14ac:dyDescent="0.25">
      <c r="E663" s="54" t="str">
        <f>IF(A663="","",SUMIF('Daftar Transaksi'!D:D,A663,'Daftar Transaksi'!F:F))</f>
        <v/>
      </c>
      <c r="F663" s="54" t="str">
        <f t="shared" si="30"/>
        <v/>
      </c>
      <c r="G663" s="54" t="str">
        <f t="shared" si="31"/>
        <v/>
      </c>
      <c r="H663" s="54" t="str">
        <f t="shared" si="32"/>
        <v/>
      </c>
    </row>
    <row r="664" spans="5:8" x14ac:dyDescent="0.25">
      <c r="E664" s="54" t="str">
        <f>IF(A664="","",SUMIF('Daftar Transaksi'!D:D,A664,'Daftar Transaksi'!F:F))</f>
        <v/>
      </c>
      <c r="F664" s="54" t="str">
        <f t="shared" si="30"/>
        <v/>
      </c>
      <c r="G664" s="54" t="str">
        <f t="shared" si="31"/>
        <v/>
      </c>
      <c r="H664" s="54" t="str">
        <f t="shared" si="32"/>
        <v/>
      </c>
    </row>
    <row r="665" spans="5:8" x14ac:dyDescent="0.25">
      <c r="E665" s="54" t="str">
        <f>IF(A665="","",SUMIF('Daftar Transaksi'!D:D,A665,'Daftar Transaksi'!F:F))</f>
        <v/>
      </c>
      <c r="F665" s="54" t="str">
        <f t="shared" si="30"/>
        <v/>
      </c>
      <c r="G665" s="54" t="str">
        <f t="shared" si="31"/>
        <v/>
      </c>
      <c r="H665" s="54" t="str">
        <f t="shared" si="32"/>
        <v/>
      </c>
    </row>
    <row r="666" spans="5:8" x14ac:dyDescent="0.25">
      <c r="E666" s="54" t="str">
        <f>IF(A666="","",SUMIF('Daftar Transaksi'!D:D,A666,'Daftar Transaksi'!F:F))</f>
        <v/>
      </c>
      <c r="F666" s="54" t="str">
        <f t="shared" si="30"/>
        <v/>
      </c>
      <c r="G666" s="54" t="str">
        <f t="shared" si="31"/>
        <v/>
      </c>
      <c r="H666" s="54" t="str">
        <f t="shared" si="32"/>
        <v/>
      </c>
    </row>
    <row r="667" spans="5:8" x14ac:dyDescent="0.25">
      <c r="E667" s="54" t="str">
        <f>IF(A667="","",SUMIF('Daftar Transaksi'!D:D,A667,'Daftar Transaksi'!F:F))</f>
        <v/>
      </c>
      <c r="F667" s="54" t="str">
        <f t="shared" si="30"/>
        <v/>
      </c>
      <c r="G667" s="54" t="str">
        <f t="shared" si="31"/>
        <v/>
      </c>
      <c r="H667" s="54" t="str">
        <f t="shared" si="32"/>
        <v/>
      </c>
    </row>
    <row r="668" spans="5:8" x14ac:dyDescent="0.25">
      <c r="E668" s="54" t="str">
        <f>IF(A668="","",SUMIF('Daftar Transaksi'!D:D,A668,'Daftar Transaksi'!F:F))</f>
        <v/>
      </c>
      <c r="F668" s="54" t="str">
        <f t="shared" si="30"/>
        <v/>
      </c>
      <c r="G668" s="54" t="str">
        <f t="shared" si="31"/>
        <v/>
      </c>
      <c r="H668" s="54" t="str">
        <f t="shared" si="32"/>
        <v/>
      </c>
    </row>
    <row r="669" spans="5:8" x14ac:dyDescent="0.25">
      <c r="E669" s="54" t="str">
        <f>IF(A669="","",SUMIF('Daftar Transaksi'!D:D,A669,'Daftar Transaksi'!F:F))</f>
        <v/>
      </c>
      <c r="F669" s="54" t="str">
        <f t="shared" si="30"/>
        <v/>
      </c>
      <c r="G669" s="54" t="str">
        <f t="shared" si="31"/>
        <v/>
      </c>
      <c r="H669" s="54" t="str">
        <f t="shared" si="32"/>
        <v/>
      </c>
    </row>
    <row r="670" spans="5:8" x14ac:dyDescent="0.25">
      <c r="E670" s="54" t="str">
        <f>IF(A670="","",SUMIF('Daftar Transaksi'!D:D,A670,'Daftar Transaksi'!F:F))</f>
        <v/>
      </c>
      <c r="F670" s="54" t="str">
        <f t="shared" si="30"/>
        <v/>
      </c>
      <c r="G670" s="54" t="str">
        <f t="shared" si="31"/>
        <v/>
      </c>
      <c r="H670" s="54" t="str">
        <f t="shared" si="32"/>
        <v/>
      </c>
    </row>
    <row r="671" spans="5:8" x14ac:dyDescent="0.25">
      <c r="E671" s="54" t="str">
        <f>IF(A671="","",SUMIF('Daftar Transaksi'!D:D,A671,'Daftar Transaksi'!F:F))</f>
        <v/>
      </c>
      <c r="F671" s="54" t="str">
        <f t="shared" si="30"/>
        <v/>
      </c>
      <c r="G671" s="54" t="str">
        <f t="shared" si="31"/>
        <v/>
      </c>
      <c r="H671" s="54" t="str">
        <f t="shared" si="32"/>
        <v/>
      </c>
    </row>
    <row r="672" spans="5:8" x14ac:dyDescent="0.25">
      <c r="E672" s="54" t="str">
        <f>IF(A672="","",SUMIF('Daftar Transaksi'!D:D,A672,'Daftar Transaksi'!F:F))</f>
        <v/>
      </c>
      <c r="F672" s="54" t="str">
        <f t="shared" si="30"/>
        <v/>
      </c>
      <c r="G672" s="54" t="str">
        <f t="shared" si="31"/>
        <v/>
      </c>
      <c r="H672" s="54" t="str">
        <f t="shared" si="32"/>
        <v/>
      </c>
    </row>
    <row r="673" spans="5:8" x14ac:dyDescent="0.25">
      <c r="E673" s="54" t="str">
        <f>IF(A673="","",SUMIF('Daftar Transaksi'!D:D,A673,'Daftar Transaksi'!F:F))</f>
        <v/>
      </c>
      <c r="F673" s="54" t="str">
        <f t="shared" si="30"/>
        <v/>
      </c>
      <c r="G673" s="54" t="str">
        <f t="shared" si="31"/>
        <v/>
      </c>
      <c r="H673" s="54" t="str">
        <f t="shared" si="32"/>
        <v/>
      </c>
    </row>
    <row r="674" spans="5:8" x14ac:dyDescent="0.25">
      <c r="E674" s="54" t="str">
        <f>IF(A674="","",SUMIF('Daftar Transaksi'!D:D,A674,'Daftar Transaksi'!F:F))</f>
        <v/>
      </c>
      <c r="F674" s="54" t="str">
        <f t="shared" si="30"/>
        <v/>
      </c>
      <c r="G674" s="54" t="str">
        <f t="shared" si="31"/>
        <v/>
      </c>
      <c r="H674" s="54" t="str">
        <f t="shared" si="32"/>
        <v/>
      </c>
    </row>
    <row r="675" spans="5:8" x14ac:dyDescent="0.25">
      <c r="E675" s="54" t="str">
        <f>IF(A675="","",SUMIF('Daftar Transaksi'!D:D,A675,'Daftar Transaksi'!F:F))</f>
        <v/>
      </c>
      <c r="F675" s="54" t="str">
        <f t="shared" si="30"/>
        <v/>
      </c>
      <c r="G675" s="54" t="str">
        <f t="shared" si="31"/>
        <v/>
      </c>
      <c r="H675" s="54" t="str">
        <f t="shared" si="32"/>
        <v/>
      </c>
    </row>
    <row r="676" spans="5:8" x14ac:dyDescent="0.25">
      <c r="E676" s="54" t="str">
        <f>IF(A676="","",SUMIF('Daftar Transaksi'!D:D,A676,'Daftar Transaksi'!F:F))</f>
        <v/>
      </c>
      <c r="F676" s="54" t="str">
        <f t="shared" si="30"/>
        <v/>
      </c>
      <c r="G676" s="54" t="str">
        <f t="shared" si="31"/>
        <v/>
      </c>
      <c r="H676" s="54" t="str">
        <f t="shared" si="32"/>
        <v/>
      </c>
    </row>
    <row r="677" spans="5:8" x14ac:dyDescent="0.25">
      <c r="E677" s="54" t="str">
        <f>IF(A677="","",SUMIF('Daftar Transaksi'!D:D,A677,'Daftar Transaksi'!F:F))</f>
        <v/>
      </c>
      <c r="F677" s="54" t="str">
        <f t="shared" si="30"/>
        <v/>
      </c>
      <c r="G677" s="54" t="str">
        <f t="shared" si="31"/>
        <v/>
      </c>
      <c r="H677" s="54" t="str">
        <f t="shared" si="32"/>
        <v/>
      </c>
    </row>
    <row r="678" spans="5:8" x14ac:dyDescent="0.25">
      <c r="E678" s="54" t="str">
        <f>IF(A678="","",SUMIF('Daftar Transaksi'!D:D,A678,'Daftar Transaksi'!F:F))</f>
        <v/>
      </c>
      <c r="F678" s="54" t="str">
        <f t="shared" si="30"/>
        <v/>
      </c>
      <c r="G678" s="54" t="str">
        <f t="shared" si="31"/>
        <v/>
      </c>
      <c r="H678" s="54" t="str">
        <f t="shared" si="32"/>
        <v/>
      </c>
    </row>
    <row r="679" spans="5:8" x14ac:dyDescent="0.25">
      <c r="E679" s="54" t="str">
        <f>IF(A679="","",SUMIF('Daftar Transaksi'!D:D,A679,'Daftar Transaksi'!F:F))</f>
        <v/>
      </c>
      <c r="F679" s="54" t="str">
        <f t="shared" si="30"/>
        <v/>
      </c>
      <c r="G679" s="54" t="str">
        <f t="shared" si="31"/>
        <v/>
      </c>
      <c r="H679" s="54" t="str">
        <f t="shared" si="32"/>
        <v/>
      </c>
    </row>
    <row r="680" spans="5:8" x14ac:dyDescent="0.25">
      <c r="E680" s="54" t="str">
        <f>IF(A680="","",SUMIF('Daftar Transaksi'!D:D,A680,'Daftar Transaksi'!F:F))</f>
        <v/>
      </c>
      <c r="F680" s="54" t="str">
        <f t="shared" si="30"/>
        <v/>
      </c>
      <c r="G680" s="54" t="str">
        <f t="shared" si="31"/>
        <v/>
      </c>
      <c r="H680" s="54" t="str">
        <f t="shared" si="32"/>
        <v/>
      </c>
    </row>
    <row r="681" spans="5:8" x14ac:dyDescent="0.25">
      <c r="E681" s="54" t="str">
        <f>IF(A681="","",SUMIF('Daftar Transaksi'!D:D,A681,'Daftar Transaksi'!F:F))</f>
        <v/>
      </c>
      <c r="F681" s="54" t="str">
        <f t="shared" si="30"/>
        <v/>
      </c>
      <c r="G681" s="54" t="str">
        <f t="shared" si="31"/>
        <v/>
      </c>
      <c r="H681" s="54" t="str">
        <f t="shared" si="32"/>
        <v/>
      </c>
    </row>
    <row r="682" spans="5:8" x14ac:dyDescent="0.25">
      <c r="E682" s="54" t="str">
        <f>IF(A682="","",SUMIF('Daftar Transaksi'!D:D,A682,'Daftar Transaksi'!F:F))</f>
        <v/>
      </c>
      <c r="F682" s="54" t="str">
        <f t="shared" si="30"/>
        <v/>
      </c>
      <c r="G682" s="54" t="str">
        <f t="shared" si="31"/>
        <v/>
      </c>
      <c r="H682" s="54" t="str">
        <f t="shared" si="32"/>
        <v/>
      </c>
    </row>
    <row r="683" spans="5:8" x14ac:dyDescent="0.25">
      <c r="E683" s="54" t="str">
        <f>IF(A683="","",SUMIF('Daftar Transaksi'!D:D,A683,'Daftar Transaksi'!F:F))</f>
        <v/>
      </c>
      <c r="F683" s="54" t="str">
        <f t="shared" si="30"/>
        <v/>
      </c>
      <c r="G683" s="54" t="str">
        <f t="shared" si="31"/>
        <v/>
      </c>
      <c r="H683" s="54" t="str">
        <f t="shared" si="32"/>
        <v/>
      </c>
    </row>
    <row r="684" spans="5:8" x14ac:dyDescent="0.25">
      <c r="E684" s="54" t="str">
        <f>IF(A684="","",SUMIF('Daftar Transaksi'!D:D,A684,'Daftar Transaksi'!F:F))</f>
        <v/>
      </c>
      <c r="F684" s="54" t="str">
        <f t="shared" si="30"/>
        <v/>
      </c>
      <c r="G684" s="54" t="str">
        <f t="shared" si="31"/>
        <v/>
      </c>
      <c r="H684" s="54" t="str">
        <f t="shared" si="32"/>
        <v/>
      </c>
    </row>
    <row r="685" spans="5:8" x14ac:dyDescent="0.25">
      <c r="E685" s="54" t="str">
        <f>IF(A685="","",SUMIF('Daftar Transaksi'!D:D,A685,'Daftar Transaksi'!F:F))</f>
        <v/>
      </c>
      <c r="F685" s="54" t="str">
        <f t="shared" si="30"/>
        <v/>
      </c>
      <c r="G685" s="54" t="str">
        <f t="shared" si="31"/>
        <v/>
      </c>
      <c r="H685" s="54" t="str">
        <f t="shared" si="32"/>
        <v/>
      </c>
    </row>
    <row r="686" spans="5:8" x14ac:dyDescent="0.25">
      <c r="E686" s="54" t="str">
        <f>IF(A686="","",SUMIF('Daftar Transaksi'!D:D,A686,'Daftar Transaksi'!F:F))</f>
        <v/>
      </c>
      <c r="F686" s="54" t="str">
        <f t="shared" si="30"/>
        <v/>
      </c>
      <c r="G686" s="54" t="str">
        <f t="shared" si="31"/>
        <v/>
      </c>
      <c r="H686" s="54" t="str">
        <f t="shared" si="32"/>
        <v/>
      </c>
    </row>
    <row r="687" spans="5:8" x14ac:dyDescent="0.25">
      <c r="E687" s="54" t="str">
        <f>IF(A687="","",SUMIF('Daftar Transaksi'!D:D,A687,'Daftar Transaksi'!F:F))</f>
        <v/>
      </c>
      <c r="F687" s="54" t="str">
        <f t="shared" si="30"/>
        <v/>
      </c>
      <c r="G687" s="54" t="str">
        <f t="shared" si="31"/>
        <v/>
      </c>
      <c r="H687" s="54" t="str">
        <f t="shared" si="32"/>
        <v/>
      </c>
    </row>
    <row r="688" spans="5:8" x14ac:dyDescent="0.25">
      <c r="E688" s="54" t="str">
        <f>IF(A688="","",SUMIF('Daftar Transaksi'!D:D,A688,'Daftar Transaksi'!F:F))</f>
        <v/>
      </c>
      <c r="F688" s="54" t="str">
        <f t="shared" si="30"/>
        <v/>
      </c>
      <c r="G688" s="54" t="str">
        <f t="shared" si="31"/>
        <v/>
      </c>
      <c r="H688" s="54" t="str">
        <f t="shared" si="32"/>
        <v/>
      </c>
    </row>
    <row r="689" spans="5:8" x14ac:dyDescent="0.25">
      <c r="E689" s="54" t="str">
        <f>IF(A689="","",SUMIF('Daftar Transaksi'!D:D,A689,'Daftar Transaksi'!F:F))</f>
        <v/>
      </c>
      <c r="F689" s="54" t="str">
        <f t="shared" si="30"/>
        <v/>
      </c>
      <c r="G689" s="54" t="str">
        <f t="shared" si="31"/>
        <v/>
      </c>
      <c r="H689" s="54" t="str">
        <f t="shared" si="32"/>
        <v/>
      </c>
    </row>
    <row r="690" spans="5:8" x14ac:dyDescent="0.25">
      <c r="E690" s="54" t="str">
        <f>IF(A690="","",SUMIF('Daftar Transaksi'!D:D,A690,'Daftar Transaksi'!F:F))</f>
        <v/>
      </c>
      <c r="F690" s="54" t="str">
        <f t="shared" si="30"/>
        <v/>
      </c>
      <c r="G690" s="54" t="str">
        <f t="shared" si="31"/>
        <v/>
      </c>
      <c r="H690" s="54" t="str">
        <f t="shared" si="32"/>
        <v/>
      </c>
    </row>
    <row r="691" spans="5:8" x14ac:dyDescent="0.25">
      <c r="E691" s="54" t="str">
        <f>IF(A691="","",SUMIF('Daftar Transaksi'!D:D,A691,'Daftar Transaksi'!F:F))</f>
        <v/>
      </c>
      <c r="F691" s="54" t="str">
        <f t="shared" si="30"/>
        <v/>
      </c>
      <c r="G691" s="54" t="str">
        <f t="shared" si="31"/>
        <v/>
      </c>
      <c r="H691" s="54" t="str">
        <f t="shared" si="32"/>
        <v/>
      </c>
    </row>
    <row r="692" spans="5:8" x14ac:dyDescent="0.25">
      <c r="E692" s="54" t="str">
        <f>IF(A692="","",SUMIF('Daftar Transaksi'!D:D,A692,'Daftar Transaksi'!F:F))</f>
        <v/>
      </c>
      <c r="F692" s="54" t="str">
        <f t="shared" si="30"/>
        <v/>
      </c>
      <c r="G692" s="54" t="str">
        <f t="shared" si="31"/>
        <v/>
      </c>
      <c r="H692" s="54" t="str">
        <f t="shared" si="32"/>
        <v/>
      </c>
    </row>
    <row r="693" spans="5:8" x14ac:dyDescent="0.25">
      <c r="E693" s="54" t="str">
        <f>IF(A693="","",SUMIF('Daftar Transaksi'!D:D,A693,'Daftar Transaksi'!F:F))</f>
        <v/>
      </c>
      <c r="F693" s="54" t="str">
        <f t="shared" si="30"/>
        <v/>
      </c>
      <c r="G693" s="54" t="str">
        <f t="shared" si="31"/>
        <v/>
      </c>
      <c r="H693" s="54" t="str">
        <f t="shared" si="32"/>
        <v/>
      </c>
    </row>
    <row r="694" spans="5:8" x14ac:dyDescent="0.25">
      <c r="E694" s="54" t="str">
        <f>IF(A694="","",SUMIF('Daftar Transaksi'!D:D,A694,'Daftar Transaksi'!F:F))</f>
        <v/>
      </c>
      <c r="F694" s="54" t="str">
        <f t="shared" si="30"/>
        <v/>
      </c>
      <c r="G694" s="54" t="str">
        <f t="shared" si="31"/>
        <v/>
      </c>
      <c r="H694" s="54" t="str">
        <f t="shared" si="32"/>
        <v/>
      </c>
    </row>
    <row r="695" spans="5:8" x14ac:dyDescent="0.25">
      <c r="E695" s="54" t="str">
        <f>IF(A695="","",SUMIF('Daftar Transaksi'!D:D,A695,'Daftar Transaksi'!F:F))</f>
        <v/>
      </c>
      <c r="F695" s="54" t="str">
        <f t="shared" si="30"/>
        <v/>
      </c>
      <c r="G695" s="54" t="str">
        <f t="shared" si="31"/>
        <v/>
      </c>
      <c r="H695" s="54" t="str">
        <f t="shared" si="32"/>
        <v/>
      </c>
    </row>
    <row r="696" spans="5:8" x14ac:dyDescent="0.25">
      <c r="E696" s="54" t="str">
        <f>IF(A696="","",SUMIF('Daftar Transaksi'!D:D,A696,'Daftar Transaksi'!F:F))</f>
        <v/>
      </c>
      <c r="F696" s="54" t="str">
        <f t="shared" si="30"/>
        <v/>
      </c>
      <c r="G696" s="54" t="str">
        <f t="shared" si="31"/>
        <v/>
      </c>
      <c r="H696" s="54" t="str">
        <f t="shared" si="32"/>
        <v/>
      </c>
    </row>
    <row r="697" spans="5:8" x14ac:dyDescent="0.25">
      <c r="E697" s="54" t="str">
        <f>IF(A697="","",SUMIF('Daftar Transaksi'!D:D,A697,'Daftar Transaksi'!F:F))</f>
        <v/>
      </c>
      <c r="F697" s="54" t="str">
        <f t="shared" si="30"/>
        <v/>
      </c>
      <c r="G697" s="54" t="str">
        <f t="shared" si="31"/>
        <v/>
      </c>
      <c r="H697" s="54" t="str">
        <f t="shared" si="32"/>
        <v/>
      </c>
    </row>
    <row r="698" spans="5:8" x14ac:dyDescent="0.25">
      <c r="E698" s="54" t="str">
        <f>IF(A698="","",SUMIF('Daftar Transaksi'!D:D,A698,'Daftar Transaksi'!F:F))</f>
        <v/>
      </c>
      <c r="F698" s="54" t="str">
        <f t="shared" si="30"/>
        <v/>
      </c>
      <c r="G698" s="54" t="str">
        <f t="shared" si="31"/>
        <v/>
      </c>
      <c r="H698" s="54" t="str">
        <f t="shared" si="32"/>
        <v/>
      </c>
    </row>
    <row r="699" spans="5:8" x14ac:dyDescent="0.25">
      <c r="E699" s="54" t="str">
        <f>IF(A699="","",SUMIF('Daftar Transaksi'!D:D,A699,'Daftar Transaksi'!F:F))</f>
        <v/>
      </c>
      <c r="F699" s="54" t="str">
        <f t="shared" si="30"/>
        <v/>
      </c>
      <c r="G699" s="54" t="str">
        <f t="shared" si="31"/>
        <v/>
      </c>
      <c r="H699" s="54" t="str">
        <f t="shared" si="32"/>
        <v/>
      </c>
    </row>
    <row r="700" spans="5:8" x14ac:dyDescent="0.25">
      <c r="E700" s="54" t="str">
        <f>IF(A700="","",SUMIF('Daftar Transaksi'!D:D,A700,'Daftar Transaksi'!F:F))</f>
        <v/>
      </c>
      <c r="F700" s="54" t="str">
        <f t="shared" si="30"/>
        <v/>
      </c>
      <c r="G700" s="54" t="str">
        <f t="shared" si="31"/>
        <v/>
      </c>
      <c r="H700" s="54" t="str">
        <f t="shared" si="32"/>
        <v/>
      </c>
    </row>
    <row r="701" spans="5:8" x14ac:dyDescent="0.25">
      <c r="E701" s="54" t="str">
        <f>IF(A701="","",SUMIF('Daftar Transaksi'!D:D,A701,'Daftar Transaksi'!F:F))</f>
        <v/>
      </c>
      <c r="F701" s="54" t="str">
        <f t="shared" si="30"/>
        <v/>
      </c>
      <c r="G701" s="54" t="str">
        <f t="shared" si="31"/>
        <v/>
      </c>
      <c r="H701" s="54" t="str">
        <f t="shared" si="32"/>
        <v/>
      </c>
    </row>
    <row r="702" spans="5:8" x14ac:dyDescent="0.25">
      <c r="E702" s="54" t="str">
        <f>IF(A702="","",SUMIF('Daftar Transaksi'!D:D,A702,'Daftar Transaksi'!F:F))</f>
        <v/>
      </c>
      <c r="F702" s="54" t="str">
        <f t="shared" si="30"/>
        <v/>
      </c>
      <c r="G702" s="54" t="str">
        <f t="shared" si="31"/>
        <v/>
      </c>
      <c r="H702" s="54" t="str">
        <f t="shared" si="32"/>
        <v/>
      </c>
    </row>
    <row r="703" spans="5:8" x14ac:dyDescent="0.25">
      <c r="E703" s="54" t="str">
        <f>IF(A703="","",SUMIF('Daftar Transaksi'!D:D,A703,'Daftar Transaksi'!F:F))</f>
        <v/>
      </c>
      <c r="F703" s="54" t="str">
        <f t="shared" ref="F703:F766" si="33">IF(A703="","",D703-E703)</f>
        <v/>
      </c>
      <c r="G703" s="54" t="str">
        <f t="shared" ref="G703:G766" si="34">IF(A703="","",C703*E703)</f>
        <v/>
      </c>
      <c r="H703" s="54" t="str">
        <f t="shared" ref="H703:H766" si="35">IF(A703="","",G703-(B703*E703))</f>
        <v/>
      </c>
    </row>
    <row r="704" spans="5:8" x14ac:dyDescent="0.25">
      <c r="E704" s="54" t="str">
        <f>IF(A704="","",SUMIF('Daftar Transaksi'!D:D,A704,'Daftar Transaksi'!F:F))</f>
        <v/>
      </c>
      <c r="F704" s="54" t="str">
        <f t="shared" si="33"/>
        <v/>
      </c>
      <c r="G704" s="54" t="str">
        <f t="shared" si="34"/>
        <v/>
      </c>
      <c r="H704" s="54" t="str">
        <f t="shared" si="35"/>
        <v/>
      </c>
    </row>
    <row r="705" spans="5:8" x14ac:dyDescent="0.25">
      <c r="E705" s="54" t="str">
        <f>IF(A705="","",SUMIF('Daftar Transaksi'!D:D,A705,'Daftar Transaksi'!F:F))</f>
        <v/>
      </c>
      <c r="F705" s="54" t="str">
        <f t="shared" si="33"/>
        <v/>
      </c>
      <c r="G705" s="54" t="str">
        <f t="shared" si="34"/>
        <v/>
      </c>
      <c r="H705" s="54" t="str">
        <f t="shared" si="35"/>
        <v/>
      </c>
    </row>
    <row r="706" spans="5:8" x14ac:dyDescent="0.25">
      <c r="E706" s="54" t="str">
        <f>IF(A706="","",SUMIF('Daftar Transaksi'!D:D,A706,'Daftar Transaksi'!F:F))</f>
        <v/>
      </c>
      <c r="F706" s="54" t="str">
        <f t="shared" si="33"/>
        <v/>
      </c>
      <c r="G706" s="54" t="str">
        <f t="shared" si="34"/>
        <v/>
      </c>
      <c r="H706" s="54" t="str">
        <f t="shared" si="35"/>
        <v/>
      </c>
    </row>
    <row r="707" spans="5:8" x14ac:dyDescent="0.25">
      <c r="E707" s="54" t="str">
        <f>IF(A707="","",SUMIF('Daftar Transaksi'!D:D,A707,'Daftar Transaksi'!F:F))</f>
        <v/>
      </c>
      <c r="F707" s="54" t="str">
        <f t="shared" si="33"/>
        <v/>
      </c>
      <c r="G707" s="54" t="str">
        <f t="shared" si="34"/>
        <v/>
      </c>
      <c r="H707" s="54" t="str">
        <f t="shared" si="35"/>
        <v/>
      </c>
    </row>
    <row r="708" spans="5:8" x14ac:dyDescent="0.25">
      <c r="E708" s="54" t="str">
        <f>IF(A708="","",SUMIF('Daftar Transaksi'!D:D,A708,'Daftar Transaksi'!F:F))</f>
        <v/>
      </c>
      <c r="F708" s="54" t="str">
        <f t="shared" si="33"/>
        <v/>
      </c>
      <c r="G708" s="54" t="str">
        <f t="shared" si="34"/>
        <v/>
      </c>
      <c r="H708" s="54" t="str">
        <f t="shared" si="35"/>
        <v/>
      </c>
    </row>
    <row r="709" spans="5:8" x14ac:dyDescent="0.25">
      <c r="E709" s="54" t="str">
        <f>IF(A709="","",SUMIF('Daftar Transaksi'!D:D,A709,'Daftar Transaksi'!F:F))</f>
        <v/>
      </c>
      <c r="F709" s="54" t="str">
        <f t="shared" si="33"/>
        <v/>
      </c>
      <c r="G709" s="54" t="str">
        <f t="shared" si="34"/>
        <v/>
      </c>
      <c r="H709" s="54" t="str">
        <f t="shared" si="35"/>
        <v/>
      </c>
    </row>
    <row r="710" spans="5:8" x14ac:dyDescent="0.25">
      <c r="E710" s="54" t="str">
        <f>IF(A710="","",SUMIF('Daftar Transaksi'!D:D,A710,'Daftar Transaksi'!F:F))</f>
        <v/>
      </c>
      <c r="F710" s="54" t="str">
        <f t="shared" si="33"/>
        <v/>
      </c>
      <c r="G710" s="54" t="str">
        <f t="shared" si="34"/>
        <v/>
      </c>
      <c r="H710" s="54" t="str">
        <f t="shared" si="35"/>
        <v/>
      </c>
    </row>
    <row r="711" spans="5:8" x14ac:dyDescent="0.25">
      <c r="E711" s="54" t="str">
        <f>IF(A711="","",SUMIF('Daftar Transaksi'!D:D,A711,'Daftar Transaksi'!F:F))</f>
        <v/>
      </c>
      <c r="F711" s="54" t="str">
        <f t="shared" si="33"/>
        <v/>
      </c>
      <c r="G711" s="54" t="str">
        <f t="shared" si="34"/>
        <v/>
      </c>
      <c r="H711" s="54" t="str">
        <f t="shared" si="35"/>
        <v/>
      </c>
    </row>
    <row r="712" spans="5:8" x14ac:dyDescent="0.25">
      <c r="E712" s="54" t="str">
        <f>IF(A712="","",SUMIF('Daftar Transaksi'!D:D,A712,'Daftar Transaksi'!F:F))</f>
        <v/>
      </c>
      <c r="F712" s="54" t="str">
        <f t="shared" si="33"/>
        <v/>
      </c>
      <c r="G712" s="54" t="str">
        <f t="shared" si="34"/>
        <v/>
      </c>
      <c r="H712" s="54" t="str">
        <f t="shared" si="35"/>
        <v/>
      </c>
    </row>
    <row r="713" spans="5:8" x14ac:dyDescent="0.25">
      <c r="E713" s="54" t="str">
        <f>IF(A713="","",SUMIF('Daftar Transaksi'!D:D,A713,'Daftar Transaksi'!F:F))</f>
        <v/>
      </c>
      <c r="F713" s="54" t="str">
        <f t="shared" si="33"/>
        <v/>
      </c>
      <c r="G713" s="54" t="str">
        <f t="shared" si="34"/>
        <v/>
      </c>
      <c r="H713" s="54" t="str">
        <f t="shared" si="35"/>
        <v/>
      </c>
    </row>
    <row r="714" spans="5:8" x14ac:dyDescent="0.25">
      <c r="E714" s="54" t="str">
        <f>IF(A714="","",SUMIF('Daftar Transaksi'!D:D,A714,'Daftar Transaksi'!F:F))</f>
        <v/>
      </c>
      <c r="F714" s="54" t="str">
        <f t="shared" si="33"/>
        <v/>
      </c>
      <c r="G714" s="54" t="str">
        <f t="shared" si="34"/>
        <v/>
      </c>
      <c r="H714" s="54" t="str">
        <f t="shared" si="35"/>
        <v/>
      </c>
    </row>
    <row r="715" spans="5:8" x14ac:dyDescent="0.25">
      <c r="E715" s="54" t="str">
        <f>IF(A715="","",SUMIF('Daftar Transaksi'!D:D,A715,'Daftar Transaksi'!F:F))</f>
        <v/>
      </c>
      <c r="F715" s="54" t="str">
        <f t="shared" si="33"/>
        <v/>
      </c>
      <c r="G715" s="54" t="str">
        <f t="shared" si="34"/>
        <v/>
      </c>
      <c r="H715" s="54" t="str">
        <f t="shared" si="35"/>
        <v/>
      </c>
    </row>
    <row r="716" spans="5:8" x14ac:dyDescent="0.25">
      <c r="E716" s="54" t="str">
        <f>IF(A716="","",SUMIF('Daftar Transaksi'!D:D,A716,'Daftar Transaksi'!F:F))</f>
        <v/>
      </c>
      <c r="F716" s="54" t="str">
        <f t="shared" si="33"/>
        <v/>
      </c>
      <c r="G716" s="54" t="str">
        <f t="shared" si="34"/>
        <v/>
      </c>
      <c r="H716" s="54" t="str">
        <f t="shared" si="35"/>
        <v/>
      </c>
    </row>
    <row r="717" spans="5:8" x14ac:dyDescent="0.25">
      <c r="E717" s="54" t="str">
        <f>IF(A717="","",SUMIF('Daftar Transaksi'!D:D,A717,'Daftar Transaksi'!F:F))</f>
        <v/>
      </c>
      <c r="F717" s="54" t="str">
        <f t="shared" si="33"/>
        <v/>
      </c>
      <c r="G717" s="54" t="str">
        <f t="shared" si="34"/>
        <v/>
      </c>
      <c r="H717" s="54" t="str">
        <f t="shared" si="35"/>
        <v/>
      </c>
    </row>
    <row r="718" spans="5:8" x14ac:dyDescent="0.25">
      <c r="E718" s="54" t="str">
        <f>IF(A718="","",SUMIF('Daftar Transaksi'!D:D,A718,'Daftar Transaksi'!F:F))</f>
        <v/>
      </c>
      <c r="F718" s="54" t="str">
        <f t="shared" si="33"/>
        <v/>
      </c>
      <c r="G718" s="54" t="str">
        <f t="shared" si="34"/>
        <v/>
      </c>
      <c r="H718" s="54" t="str">
        <f t="shared" si="35"/>
        <v/>
      </c>
    </row>
    <row r="719" spans="5:8" x14ac:dyDescent="0.25">
      <c r="E719" s="54" t="str">
        <f>IF(A719="","",SUMIF('Daftar Transaksi'!D:D,A719,'Daftar Transaksi'!F:F))</f>
        <v/>
      </c>
      <c r="F719" s="54" t="str">
        <f t="shared" si="33"/>
        <v/>
      </c>
      <c r="G719" s="54" t="str">
        <f t="shared" si="34"/>
        <v/>
      </c>
      <c r="H719" s="54" t="str">
        <f t="shared" si="35"/>
        <v/>
      </c>
    </row>
    <row r="720" spans="5:8" x14ac:dyDescent="0.25">
      <c r="E720" s="54" t="str">
        <f>IF(A720="","",SUMIF('Daftar Transaksi'!D:D,A720,'Daftar Transaksi'!F:F))</f>
        <v/>
      </c>
      <c r="F720" s="54" t="str">
        <f t="shared" si="33"/>
        <v/>
      </c>
      <c r="G720" s="54" t="str">
        <f t="shared" si="34"/>
        <v/>
      </c>
      <c r="H720" s="54" t="str">
        <f t="shared" si="35"/>
        <v/>
      </c>
    </row>
    <row r="721" spans="5:8" x14ac:dyDescent="0.25">
      <c r="E721" s="54" t="str">
        <f>IF(A721="","",SUMIF('Daftar Transaksi'!D:D,A721,'Daftar Transaksi'!F:F))</f>
        <v/>
      </c>
      <c r="F721" s="54" t="str">
        <f t="shared" si="33"/>
        <v/>
      </c>
      <c r="G721" s="54" t="str">
        <f t="shared" si="34"/>
        <v/>
      </c>
      <c r="H721" s="54" t="str">
        <f t="shared" si="35"/>
        <v/>
      </c>
    </row>
    <row r="722" spans="5:8" x14ac:dyDescent="0.25">
      <c r="E722" s="54" t="str">
        <f>IF(A722="","",SUMIF('Daftar Transaksi'!D:D,A722,'Daftar Transaksi'!F:F))</f>
        <v/>
      </c>
      <c r="F722" s="54" t="str">
        <f t="shared" si="33"/>
        <v/>
      </c>
      <c r="G722" s="54" t="str">
        <f t="shared" si="34"/>
        <v/>
      </c>
      <c r="H722" s="54" t="str">
        <f t="shared" si="35"/>
        <v/>
      </c>
    </row>
    <row r="723" spans="5:8" x14ac:dyDescent="0.25">
      <c r="E723" s="54" t="str">
        <f>IF(A723="","",SUMIF('Daftar Transaksi'!D:D,A723,'Daftar Transaksi'!F:F))</f>
        <v/>
      </c>
      <c r="F723" s="54" t="str">
        <f t="shared" si="33"/>
        <v/>
      </c>
      <c r="G723" s="54" t="str">
        <f t="shared" si="34"/>
        <v/>
      </c>
      <c r="H723" s="54" t="str">
        <f t="shared" si="35"/>
        <v/>
      </c>
    </row>
    <row r="724" spans="5:8" x14ac:dyDescent="0.25">
      <c r="E724" s="54" t="str">
        <f>IF(A724="","",SUMIF('Daftar Transaksi'!D:D,A724,'Daftar Transaksi'!F:F))</f>
        <v/>
      </c>
      <c r="F724" s="54" t="str">
        <f t="shared" si="33"/>
        <v/>
      </c>
      <c r="G724" s="54" t="str">
        <f t="shared" si="34"/>
        <v/>
      </c>
      <c r="H724" s="54" t="str">
        <f t="shared" si="35"/>
        <v/>
      </c>
    </row>
    <row r="725" spans="5:8" x14ac:dyDescent="0.25">
      <c r="E725" s="54" t="str">
        <f>IF(A725="","",SUMIF('Daftar Transaksi'!D:D,A725,'Daftar Transaksi'!F:F))</f>
        <v/>
      </c>
      <c r="F725" s="54" t="str">
        <f t="shared" si="33"/>
        <v/>
      </c>
      <c r="G725" s="54" t="str">
        <f t="shared" si="34"/>
        <v/>
      </c>
      <c r="H725" s="54" t="str">
        <f t="shared" si="35"/>
        <v/>
      </c>
    </row>
    <row r="726" spans="5:8" x14ac:dyDescent="0.25">
      <c r="E726" s="54" t="str">
        <f>IF(A726="","",SUMIF('Daftar Transaksi'!D:D,A726,'Daftar Transaksi'!F:F))</f>
        <v/>
      </c>
      <c r="F726" s="54" t="str">
        <f t="shared" si="33"/>
        <v/>
      </c>
      <c r="G726" s="54" t="str">
        <f t="shared" si="34"/>
        <v/>
      </c>
      <c r="H726" s="54" t="str">
        <f t="shared" si="35"/>
        <v/>
      </c>
    </row>
    <row r="727" spans="5:8" x14ac:dyDescent="0.25">
      <c r="E727" s="54" t="str">
        <f>IF(A727="","",SUMIF('Daftar Transaksi'!D:D,A727,'Daftar Transaksi'!F:F))</f>
        <v/>
      </c>
      <c r="F727" s="54" t="str">
        <f t="shared" si="33"/>
        <v/>
      </c>
      <c r="G727" s="54" t="str">
        <f t="shared" si="34"/>
        <v/>
      </c>
      <c r="H727" s="54" t="str">
        <f t="shared" si="35"/>
        <v/>
      </c>
    </row>
    <row r="728" spans="5:8" x14ac:dyDescent="0.25">
      <c r="E728" s="54" t="str">
        <f>IF(A728="","",SUMIF('Daftar Transaksi'!D:D,A728,'Daftar Transaksi'!F:F))</f>
        <v/>
      </c>
      <c r="F728" s="54" t="str">
        <f t="shared" si="33"/>
        <v/>
      </c>
      <c r="G728" s="54" t="str">
        <f t="shared" si="34"/>
        <v/>
      </c>
      <c r="H728" s="54" t="str">
        <f t="shared" si="35"/>
        <v/>
      </c>
    </row>
    <row r="729" spans="5:8" x14ac:dyDescent="0.25">
      <c r="E729" s="54" t="str">
        <f>IF(A729="","",SUMIF('Daftar Transaksi'!D:D,A729,'Daftar Transaksi'!F:F))</f>
        <v/>
      </c>
      <c r="F729" s="54" t="str">
        <f t="shared" si="33"/>
        <v/>
      </c>
      <c r="G729" s="54" t="str">
        <f t="shared" si="34"/>
        <v/>
      </c>
      <c r="H729" s="54" t="str">
        <f t="shared" si="35"/>
        <v/>
      </c>
    </row>
    <row r="730" spans="5:8" x14ac:dyDescent="0.25">
      <c r="E730" s="54" t="str">
        <f>IF(A730="","",SUMIF('Daftar Transaksi'!D:D,A730,'Daftar Transaksi'!F:F))</f>
        <v/>
      </c>
      <c r="F730" s="54" t="str">
        <f t="shared" si="33"/>
        <v/>
      </c>
      <c r="G730" s="54" t="str">
        <f t="shared" si="34"/>
        <v/>
      </c>
      <c r="H730" s="54" t="str">
        <f t="shared" si="35"/>
        <v/>
      </c>
    </row>
    <row r="731" spans="5:8" x14ac:dyDescent="0.25">
      <c r="E731" s="54" t="str">
        <f>IF(A731="","",SUMIF('Daftar Transaksi'!D:D,A731,'Daftar Transaksi'!F:F))</f>
        <v/>
      </c>
      <c r="F731" s="54" t="str">
        <f t="shared" si="33"/>
        <v/>
      </c>
      <c r="G731" s="54" t="str">
        <f t="shared" si="34"/>
        <v/>
      </c>
      <c r="H731" s="54" t="str">
        <f t="shared" si="35"/>
        <v/>
      </c>
    </row>
    <row r="732" spans="5:8" x14ac:dyDescent="0.25">
      <c r="E732" s="54" t="str">
        <f>IF(A732="","",SUMIF('Daftar Transaksi'!D:D,A732,'Daftar Transaksi'!F:F))</f>
        <v/>
      </c>
      <c r="F732" s="54" t="str">
        <f t="shared" si="33"/>
        <v/>
      </c>
      <c r="G732" s="54" t="str">
        <f t="shared" si="34"/>
        <v/>
      </c>
      <c r="H732" s="54" t="str">
        <f t="shared" si="35"/>
        <v/>
      </c>
    </row>
    <row r="733" spans="5:8" x14ac:dyDescent="0.25">
      <c r="E733" s="54" t="str">
        <f>IF(A733="","",SUMIF('Daftar Transaksi'!D:D,A733,'Daftar Transaksi'!F:F))</f>
        <v/>
      </c>
      <c r="F733" s="54" t="str">
        <f t="shared" si="33"/>
        <v/>
      </c>
      <c r="G733" s="54" t="str">
        <f t="shared" si="34"/>
        <v/>
      </c>
      <c r="H733" s="54" t="str">
        <f t="shared" si="35"/>
        <v/>
      </c>
    </row>
    <row r="734" spans="5:8" x14ac:dyDescent="0.25">
      <c r="E734" s="54" t="str">
        <f>IF(A734="","",SUMIF('Daftar Transaksi'!D:D,A734,'Daftar Transaksi'!F:F))</f>
        <v/>
      </c>
      <c r="F734" s="54" t="str">
        <f t="shared" si="33"/>
        <v/>
      </c>
      <c r="G734" s="54" t="str">
        <f t="shared" si="34"/>
        <v/>
      </c>
      <c r="H734" s="54" t="str">
        <f t="shared" si="35"/>
        <v/>
      </c>
    </row>
    <row r="735" spans="5:8" x14ac:dyDescent="0.25">
      <c r="E735" s="54" t="str">
        <f>IF(A735="","",SUMIF('Daftar Transaksi'!D:D,A735,'Daftar Transaksi'!F:F))</f>
        <v/>
      </c>
      <c r="F735" s="54" t="str">
        <f t="shared" si="33"/>
        <v/>
      </c>
      <c r="G735" s="54" t="str">
        <f t="shared" si="34"/>
        <v/>
      </c>
      <c r="H735" s="54" t="str">
        <f t="shared" si="35"/>
        <v/>
      </c>
    </row>
    <row r="736" spans="5:8" x14ac:dyDescent="0.25">
      <c r="E736" s="54" t="str">
        <f>IF(A736="","",SUMIF('Daftar Transaksi'!D:D,A736,'Daftar Transaksi'!F:F))</f>
        <v/>
      </c>
      <c r="F736" s="54" t="str">
        <f t="shared" si="33"/>
        <v/>
      </c>
      <c r="G736" s="54" t="str">
        <f t="shared" si="34"/>
        <v/>
      </c>
      <c r="H736" s="54" t="str">
        <f t="shared" si="35"/>
        <v/>
      </c>
    </row>
    <row r="737" spans="5:8" x14ac:dyDescent="0.25">
      <c r="E737" s="54" t="str">
        <f>IF(A737="","",SUMIF('Daftar Transaksi'!D:D,A737,'Daftar Transaksi'!F:F))</f>
        <v/>
      </c>
      <c r="F737" s="54" t="str">
        <f t="shared" si="33"/>
        <v/>
      </c>
      <c r="G737" s="54" t="str">
        <f t="shared" si="34"/>
        <v/>
      </c>
      <c r="H737" s="54" t="str">
        <f t="shared" si="35"/>
        <v/>
      </c>
    </row>
    <row r="738" spans="5:8" x14ac:dyDescent="0.25">
      <c r="E738" s="54" t="str">
        <f>IF(A738="","",SUMIF('Daftar Transaksi'!D:D,A738,'Daftar Transaksi'!F:F))</f>
        <v/>
      </c>
      <c r="F738" s="54" t="str">
        <f t="shared" si="33"/>
        <v/>
      </c>
      <c r="G738" s="54" t="str">
        <f t="shared" si="34"/>
        <v/>
      </c>
      <c r="H738" s="54" t="str">
        <f t="shared" si="35"/>
        <v/>
      </c>
    </row>
    <row r="739" spans="5:8" x14ac:dyDescent="0.25">
      <c r="E739" s="54" t="str">
        <f>IF(A739="","",SUMIF('Daftar Transaksi'!D:D,A739,'Daftar Transaksi'!F:F))</f>
        <v/>
      </c>
      <c r="F739" s="54" t="str">
        <f t="shared" si="33"/>
        <v/>
      </c>
      <c r="G739" s="54" t="str">
        <f t="shared" si="34"/>
        <v/>
      </c>
      <c r="H739" s="54" t="str">
        <f t="shared" si="35"/>
        <v/>
      </c>
    </row>
    <row r="740" spans="5:8" x14ac:dyDescent="0.25">
      <c r="E740" s="54" t="str">
        <f>IF(A740="","",SUMIF('Daftar Transaksi'!D:D,A740,'Daftar Transaksi'!F:F))</f>
        <v/>
      </c>
      <c r="F740" s="54" t="str">
        <f t="shared" si="33"/>
        <v/>
      </c>
      <c r="G740" s="54" t="str">
        <f t="shared" si="34"/>
        <v/>
      </c>
      <c r="H740" s="54" t="str">
        <f t="shared" si="35"/>
        <v/>
      </c>
    </row>
    <row r="741" spans="5:8" x14ac:dyDescent="0.25">
      <c r="E741" s="54" t="str">
        <f>IF(A741="","",SUMIF('Daftar Transaksi'!D:D,A741,'Daftar Transaksi'!F:F))</f>
        <v/>
      </c>
      <c r="F741" s="54" t="str">
        <f t="shared" si="33"/>
        <v/>
      </c>
      <c r="G741" s="54" t="str">
        <f t="shared" si="34"/>
        <v/>
      </c>
      <c r="H741" s="54" t="str">
        <f t="shared" si="35"/>
        <v/>
      </c>
    </row>
    <row r="742" spans="5:8" x14ac:dyDescent="0.25">
      <c r="E742" s="54" t="str">
        <f>IF(A742="","",SUMIF('Daftar Transaksi'!D:D,A742,'Daftar Transaksi'!F:F))</f>
        <v/>
      </c>
      <c r="F742" s="54" t="str">
        <f t="shared" si="33"/>
        <v/>
      </c>
      <c r="G742" s="54" t="str">
        <f t="shared" si="34"/>
        <v/>
      </c>
      <c r="H742" s="54" t="str">
        <f t="shared" si="35"/>
        <v/>
      </c>
    </row>
    <row r="743" spans="5:8" x14ac:dyDescent="0.25">
      <c r="E743" s="54" t="str">
        <f>IF(A743="","",SUMIF('Daftar Transaksi'!D:D,A743,'Daftar Transaksi'!F:F))</f>
        <v/>
      </c>
      <c r="F743" s="54" t="str">
        <f t="shared" si="33"/>
        <v/>
      </c>
      <c r="G743" s="54" t="str">
        <f t="shared" si="34"/>
        <v/>
      </c>
      <c r="H743" s="54" t="str">
        <f t="shared" si="35"/>
        <v/>
      </c>
    </row>
    <row r="744" spans="5:8" x14ac:dyDescent="0.25">
      <c r="E744" s="54" t="str">
        <f>IF(A744="","",SUMIF('Daftar Transaksi'!D:D,A744,'Daftar Transaksi'!F:F))</f>
        <v/>
      </c>
      <c r="F744" s="54" t="str">
        <f t="shared" si="33"/>
        <v/>
      </c>
      <c r="G744" s="54" t="str">
        <f t="shared" si="34"/>
        <v/>
      </c>
      <c r="H744" s="54" t="str">
        <f t="shared" si="35"/>
        <v/>
      </c>
    </row>
    <row r="745" spans="5:8" x14ac:dyDescent="0.25">
      <c r="E745" s="54" t="str">
        <f>IF(A745="","",SUMIF('Daftar Transaksi'!D:D,A745,'Daftar Transaksi'!F:F))</f>
        <v/>
      </c>
      <c r="F745" s="54" t="str">
        <f t="shared" si="33"/>
        <v/>
      </c>
      <c r="G745" s="54" t="str">
        <f t="shared" si="34"/>
        <v/>
      </c>
      <c r="H745" s="54" t="str">
        <f t="shared" si="35"/>
        <v/>
      </c>
    </row>
    <row r="746" spans="5:8" x14ac:dyDescent="0.25">
      <c r="E746" s="54" t="str">
        <f>IF(A746="","",SUMIF('Daftar Transaksi'!D:D,A746,'Daftar Transaksi'!F:F))</f>
        <v/>
      </c>
      <c r="F746" s="54" t="str">
        <f t="shared" si="33"/>
        <v/>
      </c>
      <c r="G746" s="54" t="str">
        <f t="shared" si="34"/>
        <v/>
      </c>
      <c r="H746" s="54" t="str">
        <f t="shared" si="35"/>
        <v/>
      </c>
    </row>
    <row r="747" spans="5:8" x14ac:dyDescent="0.25">
      <c r="E747" s="54" t="str">
        <f>IF(A747="","",SUMIF('Daftar Transaksi'!D:D,A747,'Daftar Transaksi'!F:F))</f>
        <v/>
      </c>
      <c r="F747" s="54" t="str">
        <f t="shared" si="33"/>
        <v/>
      </c>
      <c r="G747" s="54" t="str">
        <f t="shared" si="34"/>
        <v/>
      </c>
      <c r="H747" s="54" t="str">
        <f t="shared" si="35"/>
        <v/>
      </c>
    </row>
    <row r="748" spans="5:8" x14ac:dyDescent="0.25">
      <c r="E748" s="54" t="str">
        <f>IF(A748="","",SUMIF('Daftar Transaksi'!D:D,A748,'Daftar Transaksi'!F:F))</f>
        <v/>
      </c>
      <c r="F748" s="54" t="str">
        <f t="shared" si="33"/>
        <v/>
      </c>
      <c r="G748" s="54" t="str">
        <f t="shared" si="34"/>
        <v/>
      </c>
      <c r="H748" s="54" t="str">
        <f t="shared" si="35"/>
        <v/>
      </c>
    </row>
    <row r="749" spans="5:8" x14ac:dyDescent="0.25">
      <c r="E749" s="54" t="str">
        <f>IF(A749="","",SUMIF('Daftar Transaksi'!D:D,A749,'Daftar Transaksi'!F:F))</f>
        <v/>
      </c>
      <c r="F749" s="54" t="str">
        <f t="shared" si="33"/>
        <v/>
      </c>
      <c r="G749" s="54" t="str">
        <f t="shared" si="34"/>
        <v/>
      </c>
      <c r="H749" s="54" t="str">
        <f t="shared" si="35"/>
        <v/>
      </c>
    </row>
    <row r="750" spans="5:8" x14ac:dyDescent="0.25">
      <c r="E750" s="54" t="str">
        <f>IF(A750="","",SUMIF('Daftar Transaksi'!D:D,A750,'Daftar Transaksi'!F:F))</f>
        <v/>
      </c>
      <c r="F750" s="54" t="str">
        <f t="shared" si="33"/>
        <v/>
      </c>
      <c r="G750" s="54" t="str">
        <f t="shared" si="34"/>
        <v/>
      </c>
      <c r="H750" s="54" t="str">
        <f t="shared" si="35"/>
        <v/>
      </c>
    </row>
    <row r="751" spans="5:8" x14ac:dyDescent="0.25">
      <c r="E751" s="54" t="str">
        <f>IF(A751="","",SUMIF('Daftar Transaksi'!D:D,A751,'Daftar Transaksi'!F:F))</f>
        <v/>
      </c>
      <c r="F751" s="54" t="str">
        <f t="shared" si="33"/>
        <v/>
      </c>
      <c r="G751" s="54" t="str">
        <f t="shared" si="34"/>
        <v/>
      </c>
      <c r="H751" s="54" t="str">
        <f t="shared" si="35"/>
        <v/>
      </c>
    </row>
    <row r="752" spans="5:8" x14ac:dyDescent="0.25">
      <c r="E752" s="54" t="str">
        <f>IF(A752="","",SUMIF('Daftar Transaksi'!D:D,A752,'Daftar Transaksi'!F:F))</f>
        <v/>
      </c>
      <c r="F752" s="54" t="str">
        <f t="shared" si="33"/>
        <v/>
      </c>
      <c r="G752" s="54" t="str">
        <f t="shared" si="34"/>
        <v/>
      </c>
      <c r="H752" s="54" t="str">
        <f t="shared" si="35"/>
        <v/>
      </c>
    </row>
    <row r="753" spans="5:8" x14ac:dyDescent="0.25">
      <c r="E753" s="54" t="str">
        <f>IF(A753="","",SUMIF('Daftar Transaksi'!D:D,A753,'Daftar Transaksi'!F:F))</f>
        <v/>
      </c>
      <c r="F753" s="54" t="str">
        <f t="shared" si="33"/>
        <v/>
      </c>
      <c r="G753" s="54" t="str">
        <f t="shared" si="34"/>
        <v/>
      </c>
      <c r="H753" s="54" t="str">
        <f t="shared" si="35"/>
        <v/>
      </c>
    </row>
    <row r="754" spans="5:8" x14ac:dyDescent="0.25">
      <c r="E754" s="54" t="str">
        <f>IF(A754="","",SUMIF('Daftar Transaksi'!D:D,A754,'Daftar Transaksi'!F:F))</f>
        <v/>
      </c>
      <c r="F754" s="54" t="str">
        <f t="shared" si="33"/>
        <v/>
      </c>
      <c r="G754" s="54" t="str">
        <f t="shared" si="34"/>
        <v/>
      </c>
      <c r="H754" s="54" t="str">
        <f t="shared" si="35"/>
        <v/>
      </c>
    </row>
    <row r="755" spans="5:8" x14ac:dyDescent="0.25">
      <c r="E755" s="54" t="str">
        <f>IF(A755="","",SUMIF('Daftar Transaksi'!D:D,A755,'Daftar Transaksi'!F:F))</f>
        <v/>
      </c>
      <c r="F755" s="54" t="str">
        <f t="shared" si="33"/>
        <v/>
      </c>
      <c r="G755" s="54" t="str">
        <f t="shared" si="34"/>
        <v/>
      </c>
      <c r="H755" s="54" t="str">
        <f t="shared" si="35"/>
        <v/>
      </c>
    </row>
    <row r="756" spans="5:8" x14ac:dyDescent="0.25">
      <c r="E756" s="54" t="str">
        <f>IF(A756="","",SUMIF('Daftar Transaksi'!D:D,A756,'Daftar Transaksi'!F:F))</f>
        <v/>
      </c>
      <c r="F756" s="54" t="str">
        <f t="shared" si="33"/>
        <v/>
      </c>
      <c r="G756" s="54" t="str">
        <f t="shared" si="34"/>
        <v/>
      </c>
      <c r="H756" s="54" t="str">
        <f t="shared" si="35"/>
        <v/>
      </c>
    </row>
    <row r="757" spans="5:8" x14ac:dyDescent="0.25">
      <c r="E757" s="54" t="str">
        <f>IF(A757="","",SUMIF('Daftar Transaksi'!D:D,A757,'Daftar Transaksi'!F:F))</f>
        <v/>
      </c>
      <c r="F757" s="54" t="str">
        <f t="shared" si="33"/>
        <v/>
      </c>
      <c r="G757" s="54" t="str">
        <f t="shared" si="34"/>
        <v/>
      </c>
      <c r="H757" s="54" t="str">
        <f t="shared" si="35"/>
        <v/>
      </c>
    </row>
    <row r="758" spans="5:8" x14ac:dyDescent="0.25">
      <c r="E758" s="54" t="str">
        <f>IF(A758="","",SUMIF('Daftar Transaksi'!D:D,A758,'Daftar Transaksi'!F:F))</f>
        <v/>
      </c>
      <c r="F758" s="54" t="str">
        <f t="shared" si="33"/>
        <v/>
      </c>
      <c r="G758" s="54" t="str">
        <f t="shared" si="34"/>
        <v/>
      </c>
      <c r="H758" s="54" t="str">
        <f t="shared" si="35"/>
        <v/>
      </c>
    </row>
    <row r="759" spans="5:8" x14ac:dyDescent="0.25">
      <c r="E759" s="54" t="str">
        <f>IF(A759="","",SUMIF('Daftar Transaksi'!D:D,A759,'Daftar Transaksi'!F:F))</f>
        <v/>
      </c>
      <c r="F759" s="54" t="str">
        <f t="shared" si="33"/>
        <v/>
      </c>
      <c r="G759" s="54" t="str">
        <f t="shared" si="34"/>
        <v/>
      </c>
      <c r="H759" s="54" t="str">
        <f t="shared" si="35"/>
        <v/>
      </c>
    </row>
    <row r="760" spans="5:8" x14ac:dyDescent="0.25">
      <c r="E760" s="54" t="str">
        <f>IF(A760="","",SUMIF('Daftar Transaksi'!D:D,A760,'Daftar Transaksi'!F:F))</f>
        <v/>
      </c>
      <c r="F760" s="54" t="str">
        <f t="shared" si="33"/>
        <v/>
      </c>
      <c r="G760" s="54" t="str">
        <f t="shared" si="34"/>
        <v/>
      </c>
      <c r="H760" s="54" t="str">
        <f t="shared" si="35"/>
        <v/>
      </c>
    </row>
    <row r="761" spans="5:8" x14ac:dyDescent="0.25">
      <c r="E761" s="54" t="str">
        <f>IF(A761="","",SUMIF('Daftar Transaksi'!D:D,A761,'Daftar Transaksi'!F:F))</f>
        <v/>
      </c>
      <c r="F761" s="54" t="str">
        <f t="shared" si="33"/>
        <v/>
      </c>
      <c r="G761" s="54" t="str">
        <f t="shared" si="34"/>
        <v/>
      </c>
      <c r="H761" s="54" t="str">
        <f t="shared" si="35"/>
        <v/>
      </c>
    </row>
    <row r="762" spans="5:8" x14ac:dyDescent="0.25">
      <c r="E762" s="54" t="str">
        <f>IF(A762="","",SUMIF('Daftar Transaksi'!D:D,A762,'Daftar Transaksi'!F:F))</f>
        <v/>
      </c>
      <c r="F762" s="54" t="str">
        <f t="shared" si="33"/>
        <v/>
      </c>
      <c r="G762" s="54" t="str">
        <f t="shared" si="34"/>
        <v/>
      </c>
      <c r="H762" s="54" t="str">
        <f t="shared" si="35"/>
        <v/>
      </c>
    </row>
    <row r="763" spans="5:8" x14ac:dyDescent="0.25">
      <c r="E763" s="54" t="str">
        <f>IF(A763="","",SUMIF('Daftar Transaksi'!D:D,A763,'Daftar Transaksi'!F:F))</f>
        <v/>
      </c>
      <c r="F763" s="54" t="str">
        <f t="shared" si="33"/>
        <v/>
      </c>
      <c r="G763" s="54" t="str">
        <f t="shared" si="34"/>
        <v/>
      </c>
      <c r="H763" s="54" t="str">
        <f t="shared" si="35"/>
        <v/>
      </c>
    </row>
    <row r="764" spans="5:8" x14ac:dyDescent="0.25">
      <c r="E764" s="54" t="str">
        <f>IF(A764="","",SUMIF('Daftar Transaksi'!D:D,A764,'Daftar Transaksi'!F:F))</f>
        <v/>
      </c>
      <c r="F764" s="54" t="str">
        <f t="shared" si="33"/>
        <v/>
      </c>
      <c r="G764" s="54" t="str">
        <f t="shared" si="34"/>
        <v/>
      </c>
      <c r="H764" s="54" t="str">
        <f t="shared" si="35"/>
        <v/>
      </c>
    </row>
    <row r="765" spans="5:8" x14ac:dyDescent="0.25">
      <c r="E765" s="54" t="str">
        <f>IF(A765="","",SUMIF('Daftar Transaksi'!D:D,A765,'Daftar Transaksi'!F:F))</f>
        <v/>
      </c>
      <c r="F765" s="54" t="str">
        <f t="shared" si="33"/>
        <v/>
      </c>
      <c r="G765" s="54" t="str">
        <f t="shared" si="34"/>
        <v/>
      </c>
      <c r="H765" s="54" t="str">
        <f t="shared" si="35"/>
        <v/>
      </c>
    </row>
    <row r="766" spans="5:8" x14ac:dyDescent="0.25">
      <c r="E766" s="54" t="str">
        <f>IF(A766="","",SUMIF('Daftar Transaksi'!D:D,A766,'Daftar Transaksi'!F:F))</f>
        <v/>
      </c>
      <c r="F766" s="54" t="str">
        <f t="shared" si="33"/>
        <v/>
      </c>
      <c r="G766" s="54" t="str">
        <f t="shared" si="34"/>
        <v/>
      </c>
      <c r="H766" s="54" t="str">
        <f t="shared" si="35"/>
        <v/>
      </c>
    </row>
    <row r="767" spans="5:8" x14ac:dyDescent="0.25">
      <c r="E767" s="54" t="str">
        <f>IF(A767="","",SUMIF('Daftar Transaksi'!D:D,A767,'Daftar Transaksi'!F:F))</f>
        <v/>
      </c>
      <c r="F767" s="54" t="str">
        <f t="shared" ref="F767:F830" si="36">IF(A767="","",D767-E767)</f>
        <v/>
      </c>
      <c r="G767" s="54" t="str">
        <f t="shared" ref="G767:G830" si="37">IF(A767="","",C767*E767)</f>
        <v/>
      </c>
      <c r="H767" s="54" t="str">
        <f t="shared" ref="H767:H830" si="38">IF(A767="","",G767-(B767*E767))</f>
        <v/>
      </c>
    </row>
    <row r="768" spans="5:8" x14ac:dyDescent="0.25">
      <c r="E768" s="54" t="str">
        <f>IF(A768="","",SUMIF('Daftar Transaksi'!D:D,A768,'Daftar Transaksi'!F:F))</f>
        <v/>
      </c>
      <c r="F768" s="54" t="str">
        <f t="shared" si="36"/>
        <v/>
      </c>
      <c r="G768" s="54" t="str">
        <f t="shared" si="37"/>
        <v/>
      </c>
      <c r="H768" s="54" t="str">
        <f t="shared" si="38"/>
        <v/>
      </c>
    </row>
    <row r="769" spans="5:8" x14ac:dyDescent="0.25">
      <c r="E769" s="54" t="str">
        <f>IF(A769="","",SUMIF('Daftar Transaksi'!D:D,A769,'Daftar Transaksi'!F:F))</f>
        <v/>
      </c>
      <c r="F769" s="54" t="str">
        <f t="shared" si="36"/>
        <v/>
      </c>
      <c r="G769" s="54" t="str">
        <f t="shared" si="37"/>
        <v/>
      </c>
      <c r="H769" s="54" t="str">
        <f t="shared" si="38"/>
        <v/>
      </c>
    </row>
    <row r="770" spans="5:8" x14ac:dyDescent="0.25">
      <c r="E770" s="54" t="str">
        <f>IF(A770="","",SUMIF('Daftar Transaksi'!D:D,A770,'Daftar Transaksi'!F:F))</f>
        <v/>
      </c>
      <c r="F770" s="54" t="str">
        <f t="shared" si="36"/>
        <v/>
      </c>
      <c r="G770" s="54" t="str">
        <f t="shared" si="37"/>
        <v/>
      </c>
      <c r="H770" s="54" t="str">
        <f t="shared" si="38"/>
        <v/>
      </c>
    </row>
    <row r="771" spans="5:8" x14ac:dyDescent="0.25">
      <c r="E771" s="54" t="str">
        <f>IF(A771="","",SUMIF('Daftar Transaksi'!D:D,A771,'Daftar Transaksi'!F:F))</f>
        <v/>
      </c>
      <c r="F771" s="54" t="str">
        <f t="shared" si="36"/>
        <v/>
      </c>
      <c r="G771" s="54" t="str">
        <f t="shared" si="37"/>
        <v/>
      </c>
      <c r="H771" s="54" t="str">
        <f t="shared" si="38"/>
        <v/>
      </c>
    </row>
    <row r="772" spans="5:8" x14ac:dyDescent="0.25">
      <c r="E772" s="54" t="str">
        <f>IF(A772="","",SUMIF('Daftar Transaksi'!D:D,A772,'Daftar Transaksi'!F:F))</f>
        <v/>
      </c>
      <c r="F772" s="54" t="str">
        <f t="shared" si="36"/>
        <v/>
      </c>
      <c r="G772" s="54" t="str">
        <f t="shared" si="37"/>
        <v/>
      </c>
      <c r="H772" s="54" t="str">
        <f t="shared" si="38"/>
        <v/>
      </c>
    </row>
    <row r="773" spans="5:8" x14ac:dyDescent="0.25">
      <c r="E773" s="54" t="str">
        <f>IF(A773="","",SUMIF('Daftar Transaksi'!D:D,A773,'Daftar Transaksi'!F:F))</f>
        <v/>
      </c>
      <c r="F773" s="54" t="str">
        <f t="shared" si="36"/>
        <v/>
      </c>
      <c r="G773" s="54" t="str">
        <f t="shared" si="37"/>
        <v/>
      </c>
      <c r="H773" s="54" t="str">
        <f t="shared" si="38"/>
        <v/>
      </c>
    </row>
    <row r="774" spans="5:8" x14ac:dyDescent="0.25">
      <c r="E774" s="54" t="str">
        <f>IF(A774="","",SUMIF('Daftar Transaksi'!D:D,A774,'Daftar Transaksi'!F:F))</f>
        <v/>
      </c>
      <c r="F774" s="54" t="str">
        <f t="shared" si="36"/>
        <v/>
      </c>
      <c r="G774" s="54" t="str">
        <f t="shared" si="37"/>
        <v/>
      </c>
      <c r="H774" s="54" t="str">
        <f t="shared" si="38"/>
        <v/>
      </c>
    </row>
    <row r="775" spans="5:8" x14ac:dyDescent="0.25">
      <c r="E775" s="54" t="str">
        <f>IF(A775="","",SUMIF('Daftar Transaksi'!D:D,A775,'Daftar Transaksi'!F:F))</f>
        <v/>
      </c>
      <c r="F775" s="54" t="str">
        <f t="shared" si="36"/>
        <v/>
      </c>
      <c r="G775" s="54" t="str">
        <f t="shared" si="37"/>
        <v/>
      </c>
      <c r="H775" s="54" t="str">
        <f t="shared" si="38"/>
        <v/>
      </c>
    </row>
    <row r="776" spans="5:8" x14ac:dyDescent="0.25">
      <c r="E776" s="54" t="str">
        <f>IF(A776="","",SUMIF('Daftar Transaksi'!D:D,A776,'Daftar Transaksi'!F:F))</f>
        <v/>
      </c>
      <c r="F776" s="54" t="str">
        <f t="shared" si="36"/>
        <v/>
      </c>
      <c r="G776" s="54" t="str">
        <f t="shared" si="37"/>
        <v/>
      </c>
      <c r="H776" s="54" t="str">
        <f t="shared" si="38"/>
        <v/>
      </c>
    </row>
    <row r="777" spans="5:8" x14ac:dyDescent="0.25">
      <c r="E777" s="54" t="str">
        <f>IF(A777="","",SUMIF('Daftar Transaksi'!D:D,A777,'Daftar Transaksi'!F:F))</f>
        <v/>
      </c>
      <c r="F777" s="54" t="str">
        <f t="shared" si="36"/>
        <v/>
      </c>
      <c r="G777" s="54" t="str">
        <f t="shared" si="37"/>
        <v/>
      </c>
      <c r="H777" s="54" t="str">
        <f t="shared" si="38"/>
        <v/>
      </c>
    </row>
    <row r="778" spans="5:8" x14ac:dyDescent="0.25">
      <c r="E778" s="54" t="str">
        <f>IF(A778="","",SUMIF('Daftar Transaksi'!D:D,A778,'Daftar Transaksi'!F:F))</f>
        <v/>
      </c>
      <c r="F778" s="54" t="str">
        <f t="shared" si="36"/>
        <v/>
      </c>
      <c r="G778" s="54" t="str">
        <f t="shared" si="37"/>
        <v/>
      </c>
      <c r="H778" s="54" t="str">
        <f t="shared" si="38"/>
        <v/>
      </c>
    </row>
    <row r="779" spans="5:8" x14ac:dyDescent="0.25">
      <c r="E779" s="54" t="str">
        <f>IF(A779="","",SUMIF('Daftar Transaksi'!D:D,A779,'Daftar Transaksi'!F:F))</f>
        <v/>
      </c>
      <c r="F779" s="54" t="str">
        <f t="shared" si="36"/>
        <v/>
      </c>
      <c r="G779" s="54" t="str">
        <f t="shared" si="37"/>
        <v/>
      </c>
      <c r="H779" s="54" t="str">
        <f t="shared" si="38"/>
        <v/>
      </c>
    </row>
    <row r="780" spans="5:8" x14ac:dyDescent="0.25">
      <c r="E780" s="54" t="str">
        <f>IF(A780="","",SUMIF('Daftar Transaksi'!D:D,A780,'Daftar Transaksi'!F:F))</f>
        <v/>
      </c>
      <c r="F780" s="54" t="str">
        <f t="shared" si="36"/>
        <v/>
      </c>
      <c r="G780" s="54" t="str">
        <f t="shared" si="37"/>
        <v/>
      </c>
      <c r="H780" s="54" t="str">
        <f t="shared" si="38"/>
        <v/>
      </c>
    </row>
    <row r="781" spans="5:8" x14ac:dyDescent="0.25">
      <c r="E781" s="54" t="str">
        <f>IF(A781="","",SUMIF('Daftar Transaksi'!D:D,A781,'Daftar Transaksi'!F:F))</f>
        <v/>
      </c>
      <c r="F781" s="54" t="str">
        <f t="shared" si="36"/>
        <v/>
      </c>
      <c r="G781" s="54" t="str">
        <f t="shared" si="37"/>
        <v/>
      </c>
      <c r="H781" s="54" t="str">
        <f t="shared" si="38"/>
        <v/>
      </c>
    </row>
    <row r="782" spans="5:8" x14ac:dyDescent="0.25">
      <c r="E782" s="54" t="str">
        <f>IF(A782="","",SUMIF('Daftar Transaksi'!D:D,A782,'Daftar Transaksi'!F:F))</f>
        <v/>
      </c>
      <c r="F782" s="54" t="str">
        <f t="shared" si="36"/>
        <v/>
      </c>
      <c r="G782" s="54" t="str">
        <f t="shared" si="37"/>
        <v/>
      </c>
      <c r="H782" s="54" t="str">
        <f t="shared" si="38"/>
        <v/>
      </c>
    </row>
    <row r="783" spans="5:8" x14ac:dyDescent="0.25">
      <c r="E783" s="54" t="str">
        <f>IF(A783="","",SUMIF('Daftar Transaksi'!D:D,A783,'Daftar Transaksi'!F:F))</f>
        <v/>
      </c>
      <c r="F783" s="54" t="str">
        <f t="shared" si="36"/>
        <v/>
      </c>
      <c r="G783" s="54" t="str">
        <f t="shared" si="37"/>
        <v/>
      </c>
      <c r="H783" s="54" t="str">
        <f t="shared" si="38"/>
        <v/>
      </c>
    </row>
    <row r="784" spans="5:8" x14ac:dyDescent="0.25">
      <c r="E784" s="54" t="str">
        <f>IF(A784="","",SUMIF('Daftar Transaksi'!D:D,A784,'Daftar Transaksi'!F:F))</f>
        <v/>
      </c>
      <c r="F784" s="54" t="str">
        <f t="shared" si="36"/>
        <v/>
      </c>
      <c r="G784" s="54" t="str">
        <f t="shared" si="37"/>
        <v/>
      </c>
      <c r="H784" s="54" t="str">
        <f t="shared" si="38"/>
        <v/>
      </c>
    </row>
    <row r="785" spans="5:8" x14ac:dyDescent="0.25">
      <c r="E785" s="54" t="str">
        <f>IF(A785="","",SUMIF('Daftar Transaksi'!D:D,A785,'Daftar Transaksi'!F:F))</f>
        <v/>
      </c>
      <c r="F785" s="54" t="str">
        <f t="shared" si="36"/>
        <v/>
      </c>
      <c r="G785" s="54" t="str">
        <f t="shared" si="37"/>
        <v/>
      </c>
      <c r="H785" s="54" t="str">
        <f t="shared" si="38"/>
        <v/>
      </c>
    </row>
    <row r="786" spans="5:8" x14ac:dyDescent="0.25">
      <c r="E786" s="54" t="str">
        <f>IF(A786="","",SUMIF('Daftar Transaksi'!D:D,A786,'Daftar Transaksi'!F:F))</f>
        <v/>
      </c>
      <c r="F786" s="54" t="str">
        <f t="shared" si="36"/>
        <v/>
      </c>
      <c r="G786" s="54" t="str">
        <f t="shared" si="37"/>
        <v/>
      </c>
      <c r="H786" s="54" t="str">
        <f t="shared" si="38"/>
        <v/>
      </c>
    </row>
    <row r="787" spans="5:8" x14ac:dyDescent="0.25">
      <c r="E787" s="54" t="str">
        <f>IF(A787="","",SUMIF('Daftar Transaksi'!D:D,A787,'Daftar Transaksi'!F:F))</f>
        <v/>
      </c>
      <c r="F787" s="54" t="str">
        <f t="shared" si="36"/>
        <v/>
      </c>
      <c r="G787" s="54" t="str">
        <f t="shared" si="37"/>
        <v/>
      </c>
      <c r="H787" s="54" t="str">
        <f t="shared" si="38"/>
        <v/>
      </c>
    </row>
    <row r="788" spans="5:8" x14ac:dyDescent="0.25">
      <c r="E788" s="54" t="str">
        <f>IF(A788="","",SUMIF('Daftar Transaksi'!D:D,A788,'Daftar Transaksi'!F:F))</f>
        <v/>
      </c>
      <c r="F788" s="54" t="str">
        <f t="shared" si="36"/>
        <v/>
      </c>
      <c r="G788" s="54" t="str">
        <f t="shared" si="37"/>
        <v/>
      </c>
      <c r="H788" s="54" t="str">
        <f t="shared" si="38"/>
        <v/>
      </c>
    </row>
    <row r="789" spans="5:8" x14ac:dyDescent="0.25">
      <c r="E789" s="54" t="str">
        <f>IF(A789="","",SUMIF('Daftar Transaksi'!D:D,A789,'Daftar Transaksi'!F:F))</f>
        <v/>
      </c>
      <c r="F789" s="54" t="str">
        <f t="shared" si="36"/>
        <v/>
      </c>
      <c r="G789" s="54" t="str">
        <f t="shared" si="37"/>
        <v/>
      </c>
      <c r="H789" s="54" t="str">
        <f t="shared" si="38"/>
        <v/>
      </c>
    </row>
    <row r="790" spans="5:8" x14ac:dyDescent="0.25">
      <c r="E790" s="54" t="str">
        <f>IF(A790="","",SUMIF('Daftar Transaksi'!D:D,A790,'Daftar Transaksi'!F:F))</f>
        <v/>
      </c>
      <c r="F790" s="54" t="str">
        <f t="shared" si="36"/>
        <v/>
      </c>
      <c r="G790" s="54" t="str">
        <f t="shared" si="37"/>
        <v/>
      </c>
      <c r="H790" s="54" t="str">
        <f t="shared" si="38"/>
        <v/>
      </c>
    </row>
    <row r="791" spans="5:8" x14ac:dyDescent="0.25">
      <c r="E791" s="54" t="str">
        <f>IF(A791="","",SUMIF('Daftar Transaksi'!D:D,A791,'Daftar Transaksi'!F:F))</f>
        <v/>
      </c>
      <c r="F791" s="54" t="str">
        <f t="shared" si="36"/>
        <v/>
      </c>
      <c r="G791" s="54" t="str">
        <f t="shared" si="37"/>
        <v/>
      </c>
      <c r="H791" s="54" t="str">
        <f t="shared" si="38"/>
        <v/>
      </c>
    </row>
    <row r="792" spans="5:8" x14ac:dyDescent="0.25">
      <c r="E792" s="54" t="str">
        <f>IF(A792="","",SUMIF('Daftar Transaksi'!D:D,A792,'Daftar Transaksi'!F:F))</f>
        <v/>
      </c>
      <c r="F792" s="54" t="str">
        <f t="shared" si="36"/>
        <v/>
      </c>
      <c r="G792" s="54" t="str">
        <f t="shared" si="37"/>
        <v/>
      </c>
      <c r="H792" s="54" t="str">
        <f t="shared" si="38"/>
        <v/>
      </c>
    </row>
    <row r="793" spans="5:8" x14ac:dyDescent="0.25">
      <c r="E793" s="54" t="str">
        <f>IF(A793="","",SUMIF('Daftar Transaksi'!D:D,A793,'Daftar Transaksi'!F:F))</f>
        <v/>
      </c>
      <c r="F793" s="54" t="str">
        <f t="shared" si="36"/>
        <v/>
      </c>
      <c r="G793" s="54" t="str">
        <f t="shared" si="37"/>
        <v/>
      </c>
      <c r="H793" s="54" t="str">
        <f t="shared" si="38"/>
        <v/>
      </c>
    </row>
    <row r="794" spans="5:8" x14ac:dyDescent="0.25">
      <c r="E794" s="54" t="str">
        <f>IF(A794="","",SUMIF('Daftar Transaksi'!D:D,A794,'Daftar Transaksi'!F:F))</f>
        <v/>
      </c>
      <c r="F794" s="54" t="str">
        <f t="shared" si="36"/>
        <v/>
      </c>
      <c r="G794" s="54" t="str">
        <f t="shared" si="37"/>
        <v/>
      </c>
      <c r="H794" s="54" t="str">
        <f t="shared" si="38"/>
        <v/>
      </c>
    </row>
    <row r="795" spans="5:8" x14ac:dyDescent="0.25">
      <c r="E795" s="54" t="str">
        <f>IF(A795="","",SUMIF('Daftar Transaksi'!D:D,A795,'Daftar Transaksi'!F:F))</f>
        <v/>
      </c>
      <c r="F795" s="54" t="str">
        <f t="shared" si="36"/>
        <v/>
      </c>
      <c r="G795" s="54" t="str">
        <f t="shared" si="37"/>
        <v/>
      </c>
      <c r="H795" s="54" t="str">
        <f t="shared" si="38"/>
        <v/>
      </c>
    </row>
    <row r="796" spans="5:8" x14ac:dyDescent="0.25">
      <c r="E796" s="54" t="str">
        <f>IF(A796="","",SUMIF('Daftar Transaksi'!D:D,A796,'Daftar Transaksi'!F:F))</f>
        <v/>
      </c>
      <c r="F796" s="54" t="str">
        <f t="shared" si="36"/>
        <v/>
      </c>
      <c r="G796" s="54" t="str">
        <f t="shared" si="37"/>
        <v/>
      </c>
      <c r="H796" s="54" t="str">
        <f t="shared" si="38"/>
        <v/>
      </c>
    </row>
    <row r="797" spans="5:8" x14ac:dyDescent="0.25">
      <c r="E797" s="54" t="str">
        <f>IF(A797="","",SUMIF('Daftar Transaksi'!D:D,A797,'Daftar Transaksi'!F:F))</f>
        <v/>
      </c>
      <c r="F797" s="54" t="str">
        <f t="shared" si="36"/>
        <v/>
      </c>
      <c r="G797" s="54" t="str">
        <f t="shared" si="37"/>
        <v/>
      </c>
      <c r="H797" s="54" t="str">
        <f t="shared" si="38"/>
        <v/>
      </c>
    </row>
    <row r="798" spans="5:8" x14ac:dyDescent="0.25">
      <c r="E798" s="54" t="str">
        <f>IF(A798="","",SUMIF('Daftar Transaksi'!D:D,A798,'Daftar Transaksi'!F:F))</f>
        <v/>
      </c>
      <c r="F798" s="54" t="str">
        <f t="shared" si="36"/>
        <v/>
      </c>
      <c r="G798" s="54" t="str">
        <f t="shared" si="37"/>
        <v/>
      </c>
      <c r="H798" s="54" t="str">
        <f t="shared" si="38"/>
        <v/>
      </c>
    </row>
    <row r="799" spans="5:8" x14ac:dyDescent="0.25">
      <c r="E799" s="54" t="str">
        <f>IF(A799="","",SUMIF('Daftar Transaksi'!D:D,A799,'Daftar Transaksi'!F:F))</f>
        <v/>
      </c>
      <c r="F799" s="54" t="str">
        <f t="shared" si="36"/>
        <v/>
      </c>
      <c r="G799" s="54" t="str">
        <f t="shared" si="37"/>
        <v/>
      </c>
      <c r="H799" s="54" t="str">
        <f t="shared" si="38"/>
        <v/>
      </c>
    </row>
    <row r="800" spans="5:8" x14ac:dyDescent="0.25">
      <c r="E800" s="54" t="str">
        <f>IF(A800="","",SUMIF('Daftar Transaksi'!D:D,A800,'Daftar Transaksi'!F:F))</f>
        <v/>
      </c>
      <c r="F800" s="54" t="str">
        <f t="shared" si="36"/>
        <v/>
      </c>
      <c r="G800" s="54" t="str">
        <f t="shared" si="37"/>
        <v/>
      </c>
      <c r="H800" s="54" t="str">
        <f t="shared" si="38"/>
        <v/>
      </c>
    </row>
    <row r="801" spans="5:8" x14ac:dyDescent="0.25">
      <c r="E801" s="54" t="str">
        <f>IF(A801="","",SUMIF('Daftar Transaksi'!D:D,A801,'Daftar Transaksi'!F:F))</f>
        <v/>
      </c>
      <c r="F801" s="54" t="str">
        <f t="shared" si="36"/>
        <v/>
      </c>
      <c r="G801" s="54" t="str">
        <f t="shared" si="37"/>
        <v/>
      </c>
      <c r="H801" s="54" t="str">
        <f t="shared" si="38"/>
        <v/>
      </c>
    </row>
    <row r="802" spans="5:8" x14ac:dyDescent="0.25">
      <c r="E802" s="54" t="str">
        <f>IF(A802="","",SUMIF('Daftar Transaksi'!D:D,A802,'Daftar Transaksi'!F:F))</f>
        <v/>
      </c>
      <c r="F802" s="54" t="str">
        <f t="shared" si="36"/>
        <v/>
      </c>
      <c r="G802" s="54" t="str">
        <f t="shared" si="37"/>
        <v/>
      </c>
      <c r="H802" s="54" t="str">
        <f t="shared" si="38"/>
        <v/>
      </c>
    </row>
    <row r="803" spans="5:8" x14ac:dyDescent="0.25">
      <c r="E803" s="54" t="str">
        <f>IF(A803="","",SUMIF('Daftar Transaksi'!D:D,A803,'Daftar Transaksi'!F:F))</f>
        <v/>
      </c>
      <c r="F803" s="54" t="str">
        <f t="shared" si="36"/>
        <v/>
      </c>
      <c r="G803" s="54" t="str">
        <f t="shared" si="37"/>
        <v/>
      </c>
      <c r="H803" s="54" t="str">
        <f t="shared" si="38"/>
        <v/>
      </c>
    </row>
    <row r="804" spans="5:8" x14ac:dyDescent="0.25">
      <c r="E804" s="54" t="str">
        <f>IF(A804="","",SUMIF('Daftar Transaksi'!D:D,A804,'Daftar Transaksi'!F:F))</f>
        <v/>
      </c>
      <c r="F804" s="54" t="str">
        <f t="shared" si="36"/>
        <v/>
      </c>
      <c r="G804" s="54" t="str">
        <f t="shared" si="37"/>
        <v/>
      </c>
      <c r="H804" s="54" t="str">
        <f t="shared" si="38"/>
        <v/>
      </c>
    </row>
    <row r="805" spans="5:8" x14ac:dyDescent="0.25">
      <c r="E805" s="54" t="str">
        <f>IF(A805="","",SUMIF('Daftar Transaksi'!D:D,A805,'Daftar Transaksi'!F:F))</f>
        <v/>
      </c>
      <c r="F805" s="54" t="str">
        <f t="shared" si="36"/>
        <v/>
      </c>
      <c r="G805" s="54" t="str">
        <f t="shared" si="37"/>
        <v/>
      </c>
      <c r="H805" s="54" t="str">
        <f t="shared" si="38"/>
        <v/>
      </c>
    </row>
    <row r="806" spans="5:8" x14ac:dyDescent="0.25">
      <c r="E806" s="54" t="str">
        <f>IF(A806="","",SUMIF('Daftar Transaksi'!D:D,A806,'Daftar Transaksi'!F:F))</f>
        <v/>
      </c>
      <c r="F806" s="54" t="str">
        <f t="shared" si="36"/>
        <v/>
      </c>
      <c r="G806" s="54" t="str">
        <f t="shared" si="37"/>
        <v/>
      </c>
      <c r="H806" s="54" t="str">
        <f t="shared" si="38"/>
        <v/>
      </c>
    </row>
    <row r="807" spans="5:8" x14ac:dyDescent="0.25">
      <c r="E807" s="54" t="str">
        <f>IF(A807="","",SUMIF('Daftar Transaksi'!D:D,A807,'Daftar Transaksi'!F:F))</f>
        <v/>
      </c>
      <c r="F807" s="54" t="str">
        <f t="shared" si="36"/>
        <v/>
      </c>
      <c r="G807" s="54" t="str">
        <f t="shared" si="37"/>
        <v/>
      </c>
      <c r="H807" s="54" t="str">
        <f t="shared" si="38"/>
        <v/>
      </c>
    </row>
    <row r="808" spans="5:8" x14ac:dyDescent="0.25">
      <c r="E808" s="54" t="str">
        <f>IF(A808="","",SUMIF('Daftar Transaksi'!D:D,A808,'Daftar Transaksi'!F:F))</f>
        <v/>
      </c>
      <c r="F808" s="54" t="str">
        <f t="shared" si="36"/>
        <v/>
      </c>
      <c r="G808" s="54" t="str">
        <f t="shared" si="37"/>
        <v/>
      </c>
      <c r="H808" s="54" t="str">
        <f t="shared" si="38"/>
        <v/>
      </c>
    </row>
    <row r="809" spans="5:8" x14ac:dyDescent="0.25">
      <c r="E809" s="54" t="str">
        <f>IF(A809="","",SUMIF('Daftar Transaksi'!D:D,A809,'Daftar Transaksi'!F:F))</f>
        <v/>
      </c>
      <c r="F809" s="54" t="str">
        <f t="shared" si="36"/>
        <v/>
      </c>
      <c r="G809" s="54" t="str">
        <f t="shared" si="37"/>
        <v/>
      </c>
      <c r="H809" s="54" t="str">
        <f t="shared" si="38"/>
        <v/>
      </c>
    </row>
    <row r="810" spans="5:8" x14ac:dyDescent="0.25">
      <c r="E810" s="54" t="str">
        <f>IF(A810="","",SUMIF('Daftar Transaksi'!D:D,A810,'Daftar Transaksi'!F:F))</f>
        <v/>
      </c>
      <c r="F810" s="54" t="str">
        <f t="shared" si="36"/>
        <v/>
      </c>
      <c r="G810" s="54" t="str">
        <f t="shared" si="37"/>
        <v/>
      </c>
      <c r="H810" s="54" t="str">
        <f t="shared" si="38"/>
        <v/>
      </c>
    </row>
    <row r="811" spans="5:8" x14ac:dyDescent="0.25">
      <c r="E811" s="54" t="str">
        <f>IF(A811="","",SUMIF('Daftar Transaksi'!D:D,A811,'Daftar Transaksi'!F:F))</f>
        <v/>
      </c>
      <c r="F811" s="54" t="str">
        <f t="shared" si="36"/>
        <v/>
      </c>
      <c r="G811" s="54" t="str">
        <f t="shared" si="37"/>
        <v/>
      </c>
      <c r="H811" s="54" t="str">
        <f t="shared" si="38"/>
        <v/>
      </c>
    </row>
    <row r="812" spans="5:8" x14ac:dyDescent="0.25">
      <c r="E812" s="54" t="str">
        <f>IF(A812="","",SUMIF('Daftar Transaksi'!D:D,A812,'Daftar Transaksi'!F:F))</f>
        <v/>
      </c>
      <c r="F812" s="54" t="str">
        <f t="shared" si="36"/>
        <v/>
      </c>
      <c r="G812" s="54" t="str">
        <f t="shared" si="37"/>
        <v/>
      </c>
      <c r="H812" s="54" t="str">
        <f t="shared" si="38"/>
        <v/>
      </c>
    </row>
    <row r="813" spans="5:8" x14ac:dyDescent="0.25">
      <c r="E813" s="54" t="str">
        <f>IF(A813="","",SUMIF('Daftar Transaksi'!D:D,A813,'Daftar Transaksi'!F:F))</f>
        <v/>
      </c>
      <c r="F813" s="54" t="str">
        <f t="shared" si="36"/>
        <v/>
      </c>
      <c r="G813" s="54" t="str">
        <f t="shared" si="37"/>
        <v/>
      </c>
      <c r="H813" s="54" t="str">
        <f t="shared" si="38"/>
        <v/>
      </c>
    </row>
    <row r="814" spans="5:8" x14ac:dyDescent="0.25">
      <c r="E814" s="54" t="str">
        <f>IF(A814="","",SUMIF('Daftar Transaksi'!D:D,A814,'Daftar Transaksi'!F:F))</f>
        <v/>
      </c>
      <c r="F814" s="54" t="str">
        <f t="shared" si="36"/>
        <v/>
      </c>
      <c r="G814" s="54" t="str">
        <f t="shared" si="37"/>
        <v/>
      </c>
      <c r="H814" s="54" t="str">
        <f t="shared" si="38"/>
        <v/>
      </c>
    </row>
    <row r="815" spans="5:8" x14ac:dyDescent="0.25">
      <c r="E815" s="54" t="str">
        <f>IF(A815="","",SUMIF('Daftar Transaksi'!D:D,A815,'Daftar Transaksi'!F:F))</f>
        <v/>
      </c>
      <c r="F815" s="54" t="str">
        <f t="shared" si="36"/>
        <v/>
      </c>
      <c r="G815" s="54" t="str">
        <f t="shared" si="37"/>
        <v/>
      </c>
      <c r="H815" s="54" t="str">
        <f t="shared" si="38"/>
        <v/>
      </c>
    </row>
    <row r="816" spans="5:8" x14ac:dyDescent="0.25">
      <c r="E816" s="54" t="str">
        <f>IF(A816="","",SUMIF('Daftar Transaksi'!D:D,A816,'Daftar Transaksi'!F:F))</f>
        <v/>
      </c>
      <c r="F816" s="54" t="str">
        <f t="shared" si="36"/>
        <v/>
      </c>
      <c r="G816" s="54" t="str">
        <f t="shared" si="37"/>
        <v/>
      </c>
      <c r="H816" s="54" t="str">
        <f t="shared" si="38"/>
        <v/>
      </c>
    </row>
    <row r="817" spans="5:8" x14ac:dyDescent="0.25">
      <c r="E817" s="54" t="str">
        <f>IF(A817="","",SUMIF('Daftar Transaksi'!D:D,A817,'Daftar Transaksi'!F:F))</f>
        <v/>
      </c>
      <c r="F817" s="54" t="str">
        <f t="shared" si="36"/>
        <v/>
      </c>
      <c r="G817" s="54" t="str">
        <f t="shared" si="37"/>
        <v/>
      </c>
      <c r="H817" s="54" t="str">
        <f t="shared" si="38"/>
        <v/>
      </c>
    </row>
    <row r="818" spans="5:8" x14ac:dyDescent="0.25">
      <c r="E818" s="54" t="str">
        <f>IF(A818="","",SUMIF('Daftar Transaksi'!D:D,A818,'Daftar Transaksi'!F:F))</f>
        <v/>
      </c>
      <c r="F818" s="54" t="str">
        <f t="shared" si="36"/>
        <v/>
      </c>
      <c r="G818" s="54" t="str">
        <f t="shared" si="37"/>
        <v/>
      </c>
      <c r="H818" s="54" t="str">
        <f t="shared" si="38"/>
        <v/>
      </c>
    </row>
    <row r="819" spans="5:8" x14ac:dyDescent="0.25">
      <c r="E819" s="54" t="str">
        <f>IF(A819="","",SUMIF('Daftar Transaksi'!D:D,A819,'Daftar Transaksi'!F:F))</f>
        <v/>
      </c>
      <c r="F819" s="54" t="str">
        <f t="shared" si="36"/>
        <v/>
      </c>
      <c r="G819" s="54" t="str">
        <f t="shared" si="37"/>
        <v/>
      </c>
      <c r="H819" s="54" t="str">
        <f t="shared" si="38"/>
        <v/>
      </c>
    </row>
    <row r="820" spans="5:8" x14ac:dyDescent="0.25">
      <c r="E820" s="54" t="str">
        <f>IF(A820="","",SUMIF('Daftar Transaksi'!D:D,A820,'Daftar Transaksi'!F:F))</f>
        <v/>
      </c>
      <c r="F820" s="54" t="str">
        <f t="shared" si="36"/>
        <v/>
      </c>
      <c r="G820" s="54" t="str">
        <f t="shared" si="37"/>
        <v/>
      </c>
      <c r="H820" s="54" t="str">
        <f t="shared" si="38"/>
        <v/>
      </c>
    </row>
    <row r="821" spans="5:8" x14ac:dyDescent="0.25">
      <c r="E821" s="54" t="str">
        <f>IF(A821="","",SUMIF('Daftar Transaksi'!D:D,A821,'Daftar Transaksi'!F:F))</f>
        <v/>
      </c>
      <c r="F821" s="54" t="str">
        <f t="shared" si="36"/>
        <v/>
      </c>
      <c r="G821" s="54" t="str">
        <f t="shared" si="37"/>
        <v/>
      </c>
      <c r="H821" s="54" t="str">
        <f t="shared" si="38"/>
        <v/>
      </c>
    </row>
    <row r="822" spans="5:8" x14ac:dyDescent="0.25">
      <c r="E822" s="54" t="str">
        <f>IF(A822="","",SUMIF('Daftar Transaksi'!D:D,A822,'Daftar Transaksi'!F:F))</f>
        <v/>
      </c>
      <c r="F822" s="54" t="str">
        <f t="shared" si="36"/>
        <v/>
      </c>
      <c r="G822" s="54" t="str">
        <f t="shared" si="37"/>
        <v/>
      </c>
      <c r="H822" s="54" t="str">
        <f t="shared" si="38"/>
        <v/>
      </c>
    </row>
    <row r="823" spans="5:8" x14ac:dyDescent="0.25">
      <c r="E823" s="54" t="str">
        <f>IF(A823="","",SUMIF('Daftar Transaksi'!D:D,A823,'Daftar Transaksi'!F:F))</f>
        <v/>
      </c>
      <c r="F823" s="54" t="str">
        <f t="shared" si="36"/>
        <v/>
      </c>
      <c r="G823" s="54" t="str">
        <f t="shared" si="37"/>
        <v/>
      </c>
      <c r="H823" s="54" t="str">
        <f t="shared" si="38"/>
        <v/>
      </c>
    </row>
    <row r="824" spans="5:8" x14ac:dyDescent="0.25">
      <c r="E824" s="54" t="str">
        <f>IF(A824="","",SUMIF('Daftar Transaksi'!D:D,A824,'Daftar Transaksi'!F:F))</f>
        <v/>
      </c>
      <c r="F824" s="54" t="str">
        <f t="shared" si="36"/>
        <v/>
      </c>
      <c r="G824" s="54" t="str">
        <f t="shared" si="37"/>
        <v/>
      </c>
      <c r="H824" s="54" t="str">
        <f t="shared" si="38"/>
        <v/>
      </c>
    </row>
    <row r="825" spans="5:8" x14ac:dyDescent="0.25">
      <c r="E825" s="54" t="str">
        <f>IF(A825="","",SUMIF('Daftar Transaksi'!D:D,A825,'Daftar Transaksi'!F:F))</f>
        <v/>
      </c>
      <c r="F825" s="54" t="str">
        <f t="shared" si="36"/>
        <v/>
      </c>
      <c r="G825" s="54" t="str">
        <f t="shared" si="37"/>
        <v/>
      </c>
      <c r="H825" s="54" t="str">
        <f t="shared" si="38"/>
        <v/>
      </c>
    </row>
    <row r="826" spans="5:8" x14ac:dyDescent="0.25">
      <c r="E826" s="54" t="str">
        <f>IF(A826="","",SUMIF('Daftar Transaksi'!D:D,A826,'Daftar Transaksi'!F:F))</f>
        <v/>
      </c>
      <c r="F826" s="54" t="str">
        <f t="shared" si="36"/>
        <v/>
      </c>
      <c r="G826" s="54" t="str">
        <f t="shared" si="37"/>
        <v/>
      </c>
      <c r="H826" s="54" t="str">
        <f t="shared" si="38"/>
        <v/>
      </c>
    </row>
    <row r="827" spans="5:8" x14ac:dyDescent="0.25">
      <c r="E827" s="54" t="str">
        <f>IF(A827="","",SUMIF('Daftar Transaksi'!D:D,A827,'Daftar Transaksi'!F:F))</f>
        <v/>
      </c>
      <c r="F827" s="54" t="str">
        <f t="shared" si="36"/>
        <v/>
      </c>
      <c r="G827" s="54" t="str">
        <f t="shared" si="37"/>
        <v/>
      </c>
      <c r="H827" s="54" t="str">
        <f t="shared" si="38"/>
        <v/>
      </c>
    </row>
    <row r="828" spans="5:8" x14ac:dyDescent="0.25">
      <c r="E828" s="54" t="str">
        <f>IF(A828="","",SUMIF('Daftar Transaksi'!D:D,A828,'Daftar Transaksi'!F:F))</f>
        <v/>
      </c>
      <c r="F828" s="54" t="str">
        <f t="shared" si="36"/>
        <v/>
      </c>
      <c r="G828" s="54" t="str">
        <f t="shared" si="37"/>
        <v/>
      </c>
      <c r="H828" s="54" t="str">
        <f t="shared" si="38"/>
        <v/>
      </c>
    </row>
    <row r="829" spans="5:8" x14ac:dyDescent="0.25">
      <c r="E829" s="54" t="str">
        <f>IF(A829="","",SUMIF('Daftar Transaksi'!D:D,A829,'Daftar Transaksi'!F:F))</f>
        <v/>
      </c>
      <c r="F829" s="54" t="str">
        <f t="shared" si="36"/>
        <v/>
      </c>
      <c r="G829" s="54" t="str">
        <f t="shared" si="37"/>
        <v/>
      </c>
      <c r="H829" s="54" t="str">
        <f t="shared" si="38"/>
        <v/>
      </c>
    </row>
    <row r="830" spans="5:8" x14ac:dyDescent="0.25">
      <c r="E830" s="54" t="str">
        <f>IF(A830="","",SUMIF('Daftar Transaksi'!D:D,A830,'Daftar Transaksi'!F:F))</f>
        <v/>
      </c>
      <c r="F830" s="54" t="str">
        <f t="shared" si="36"/>
        <v/>
      </c>
      <c r="G830" s="54" t="str">
        <f t="shared" si="37"/>
        <v/>
      </c>
      <c r="H830" s="54" t="str">
        <f t="shared" si="38"/>
        <v/>
      </c>
    </row>
    <row r="831" spans="5:8" x14ac:dyDescent="0.25">
      <c r="E831" s="54" t="str">
        <f>IF(A831="","",SUMIF('Daftar Transaksi'!D:D,A831,'Daftar Transaksi'!F:F))</f>
        <v/>
      </c>
      <c r="F831" s="54" t="str">
        <f t="shared" ref="F831:F894" si="39">IF(A831="","",D831-E831)</f>
        <v/>
      </c>
      <c r="G831" s="54" t="str">
        <f t="shared" ref="G831:G894" si="40">IF(A831="","",C831*E831)</f>
        <v/>
      </c>
      <c r="H831" s="54" t="str">
        <f t="shared" ref="H831:H894" si="41">IF(A831="","",G831-(B831*E831))</f>
        <v/>
      </c>
    </row>
    <row r="832" spans="5:8" x14ac:dyDescent="0.25">
      <c r="E832" s="54" t="str">
        <f>IF(A832="","",SUMIF('Daftar Transaksi'!D:D,A832,'Daftar Transaksi'!F:F))</f>
        <v/>
      </c>
      <c r="F832" s="54" t="str">
        <f t="shared" si="39"/>
        <v/>
      </c>
      <c r="G832" s="54" t="str">
        <f t="shared" si="40"/>
        <v/>
      </c>
      <c r="H832" s="54" t="str">
        <f t="shared" si="41"/>
        <v/>
      </c>
    </row>
    <row r="833" spans="5:8" x14ac:dyDescent="0.25">
      <c r="E833" s="54" t="str">
        <f>IF(A833="","",SUMIF('Daftar Transaksi'!D:D,A833,'Daftar Transaksi'!F:F))</f>
        <v/>
      </c>
      <c r="F833" s="54" t="str">
        <f t="shared" si="39"/>
        <v/>
      </c>
      <c r="G833" s="54" t="str">
        <f t="shared" si="40"/>
        <v/>
      </c>
      <c r="H833" s="54" t="str">
        <f t="shared" si="41"/>
        <v/>
      </c>
    </row>
    <row r="834" spans="5:8" x14ac:dyDescent="0.25">
      <c r="E834" s="54" t="str">
        <f>IF(A834="","",SUMIF('Daftar Transaksi'!D:D,A834,'Daftar Transaksi'!F:F))</f>
        <v/>
      </c>
      <c r="F834" s="54" t="str">
        <f t="shared" si="39"/>
        <v/>
      </c>
      <c r="G834" s="54" t="str">
        <f t="shared" si="40"/>
        <v/>
      </c>
      <c r="H834" s="54" t="str">
        <f t="shared" si="41"/>
        <v/>
      </c>
    </row>
    <row r="835" spans="5:8" x14ac:dyDescent="0.25">
      <c r="E835" s="54" t="str">
        <f>IF(A835="","",SUMIF('Daftar Transaksi'!D:D,A835,'Daftar Transaksi'!F:F))</f>
        <v/>
      </c>
      <c r="F835" s="54" t="str">
        <f t="shared" si="39"/>
        <v/>
      </c>
      <c r="G835" s="54" t="str">
        <f t="shared" si="40"/>
        <v/>
      </c>
      <c r="H835" s="54" t="str">
        <f t="shared" si="41"/>
        <v/>
      </c>
    </row>
    <row r="836" spans="5:8" x14ac:dyDescent="0.25">
      <c r="E836" s="54" t="str">
        <f>IF(A836="","",SUMIF('Daftar Transaksi'!D:D,A836,'Daftar Transaksi'!F:F))</f>
        <v/>
      </c>
      <c r="F836" s="54" t="str">
        <f t="shared" si="39"/>
        <v/>
      </c>
      <c r="G836" s="54" t="str">
        <f t="shared" si="40"/>
        <v/>
      </c>
      <c r="H836" s="54" t="str">
        <f t="shared" si="41"/>
        <v/>
      </c>
    </row>
    <row r="837" spans="5:8" x14ac:dyDescent="0.25">
      <c r="E837" s="54" t="str">
        <f>IF(A837="","",SUMIF('Daftar Transaksi'!D:D,A837,'Daftar Transaksi'!F:F))</f>
        <v/>
      </c>
      <c r="F837" s="54" t="str">
        <f t="shared" si="39"/>
        <v/>
      </c>
      <c r="G837" s="54" t="str">
        <f t="shared" si="40"/>
        <v/>
      </c>
      <c r="H837" s="54" t="str">
        <f t="shared" si="41"/>
        <v/>
      </c>
    </row>
    <row r="838" spans="5:8" x14ac:dyDescent="0.25">
      <c r="E838" s="54" t="str">
        <f>IF(A838="","",SUMIF('Daftar Transaksi'!D:D,A838,'Daftar Transaksi'!F:F))</f>
        <v/>
      </c>
      <c r="F838" s="54" t="str">
        <f t="shared" si="39"/>
        <v/>
      </c>
      <c r="G838" s="54" t="str">
        <f t="shared" si="40"/>
        <v/>
      </c>
      <c r="H838" s="54" t="str">
        <f t="shared" si="41"/>
        <v/>
      </c>
    </row>
    <row r="839" spans="5:8" x14ac:dyDescent="0.25">
      <c r="E839" s="54" t="str">
        <f>IF(A839="","",SUMIF('Daftar Transaksi'!D:D,A839,'Daftar Transaksi'!F:F))</f>
        <v/>
      </c>
      <c r="F839" s="54" t="str">
        <f t="shared" si="39"/>
        <v/>
      </c>
      <c r="G839" s="54" t="str">
        <f t="shared" si="40"/>
        <v/>
      </c>
      <c r="H839" s="54" t="str">
        <f t="shared" si="41"/>
        <v/>
      </c>
    </row>
    <row r="840" spans="5:8" x14ac:dyDescent="0.25">
      <c r="E840" s="54" t="str">
        <f>IF(A840="","",SUMIF('Daftar Transaksi'!D:D,A840,'Daftar Transaksi'!F:F))</f>
        <v/>
      </c>
      <c r="F840" s="54" t="str">
        <f t="shared" si="39"/>
        <v/>
      </c>
      <c r="G840" s="54" t="str">
        <f t="shared" si="40"/>
        <v/>
      </c>
      <c r="H840" s="54" t="str">
        <f t="shared" si="41"/>
        <v/>
      </c>
    </row>
    <row r="841" spans="5:8" x14ac:dyDescent="0.25">
      <c r="E841" s="54" t="str">
        <f>IF(A841="","",SUMIF('Daftar Transaksi'!D:D,A841,'Daftar Transaksi'!F:F))</f>
        <v/>
      </c>
      <c r="F841" s="54" t="str">
        <f t="shared" si="39"/>
        <v/>
      </c>
      <c r="G841" s="54" t="str">
        <f t="shared" si="40"/>
        <v/>
      </c>
      <c r="H841" s="54" t="str">
        <f t="shared" si="41"/>
        <v/>
      </c>
    </row>
    <row r="842" spans="5:8" x14ac:dyDescent="0.25">
      <c r="E842" s="54" t="str">
        <f>IF(A842="","",SUMIF('Daftar Transaksi'!D:D,A842,'Daftar Transaksi'!F:F))</f>
        <v/>
      </c>
      <c r="F842" s="54" t="str">
        <f t="shared" si="39"/>
        <v/>
      </c>
      <c r="G842" s="54" t="str">
        <f t="shared" si="40"/>
        <v/>
      </c>
      <c r="H842" s="54" t="str">
        <f t="shared" si="41"/>
        <v/>
      </c>
    </row>
    <row r="843" spans="5:8" x14ac:dyDescent="0.25">
      <c r="E843" s="54" t="str">
        <f>IF(A843="","",SUMIF('Daftar Transaksi'!D:D,A843,'Daftar Transaksi'!F:F))</f>
        <v/>
      </c>
      <c r="F843" s="54" t="str">
        <f t="shared" si="39"/>
        <v/>
      </c>
      <c r="G843" s="54" t="str">
        <f t="shared" si="40"/>
        <v/>
      </c>
      <c r="H843" s="54" t="str">
        <f t="shared" si="41"/>
        <v/>
      </c>
    </row>
    <row r="844" spans="5:8" x14ac:dyDescent="0.25">
      <c r="E844" s="54" t="str">
        <f>IF(A844="","",SUMIF('Daftar Transaksi'!D:D,A844,'Daftar Transaksi'!F:F))</f>
        <v/>
      </c>
      <c r="F844" s="54" t="str">
        <f t="shared" si="39"/>
        <v/>
      </c>
      <c r="G844" s="54" t="str">
        <f t="shared" si="40"/>
        <v/>
      </c>
      <c r="H844" s="54" t="str">
        <f t="shared" si="41"/>
        <v/>
      </c>
    </row>
    <row r="845" spans="5:8" x14ac:dyDescent="0.25">
      <c r="E845" s="54" t="str">
        <f>IF(A845="","",SUMIF('Daftar Transaksi'!D:D,A845,'Daftar Transaksi'!F:F))</f>
        <v/>
      </c>
      <c r="F845" s="54" t="str">
        <f t="shared" si="39"/>
        <v/>
      </c>
      <c r="G845" s="54" t="str">
        <f t="shared" si="40"/>
        <v/>
      </c>
      <c r="H845" s="54" t="str">
        <f t="shared" si="41"/>
        <v/>
      </c>
    </row>
    <row r="846" spans="5:8" x14ac:dyDescent="0.25">
      <c r="E846" s="54" t="str">
        <f>IF(A846="","",SUMIF('Daftar Transaksi'!D:D,A846,'Daftar Transaksi'!F:F))</f>
        <v/>
      </c>
      <c r="F846" s="54" t="str">
        <f t="shared" si="39"/>
        <v/>
      </c>
      <c r="G846" s="54" t="str">
        <f t="shared" si="40"/>
        <v/>
      </c>
      <c r="H846" s="54" t="str">
        <f t="shared" si="41"/>
        <v/>
      </c>
    </row>
    <row r="847" spans="5:8" x14ac:dyDescent="0.25">
      <c r="E847" s="54" t="str">
        <f>IF(A847="","",SUMIF('Daftar Transaksi'!D:D,A847,'Daftar Transaksi'!F:F))</f>
        <v/>
      </c>
      <c r="F847" s="54" t="str">
        <f t="shared" si="39"/>
        <v/>
      </c>
      <c r="G847" s="54" t="str">
        <f t="shared" si="40"/>
        <v/>
      </c>
      <c r="H847" s="54" t="str">
        <f t="shared" si="41"/>
        <v/>
      </c>
    </row>
    <row r="848" spans="5:8" x14ac:dyDescent="0.25">
      <c r="E848" s="54" t="str">
        <f>IF(A848="","",SUMIF('Daftar Transaksi'!D:D,A848,'Daftar Transaksi'!F:F))</f>
        <v/>
      </c>
      <c r="F848" s="54" t="str">
        <f t="shared" si="39"/>
        <v/>
      </c>
      <c r="G848" s="54" t="str">
        <f t="shared" si="40"/>
        <v/>
      </c>
      <c r="H848" s="54" t="str">
        <f t="shared" si="41"/>
        <v/>
      </c>
    </row>
    <row r="849" spans="5:8" x14ac:dyDescent="0.25">
      <c r="E849" s="54" t="str">
        <f>IF(A849="","",SUMIF('Daftar Transaksi'!D:D,A849,'Daftar Transaksi'!F:F))</f>
        <v/>
      </c>
      <c r="F849" s="54" t="str">
        <f t="shared" si="39"/>
        <v/>
      </c>
      <c r="G849" s="54" t="str">
        <f t="shared" si="40"/>
        <v/>
      </c>
      <c r="H849" s="54" t="str">
        <f t="shared" si="41"/>
        <v/>
      </c>
    </row>
    <row r="850" spans="5:8" x14ac:dyDescent="0.25">
      <c r="E850" s="54" t="str">
        <f>IF(A850="","",SUMIF('Daftar Transaksi'!D:D,A850,'Daftar Transaksi'!F:F))</f>
        <v/>
      </c>
      <c r="F850" s="54" t="str">
        <f t="shared" si="39"/>
        <v/>
      </c>
      <c r="G850" s="54" t="str">
        <f t="shared" si="40"/>
        <v/>
      </c>
      <c r="H850" s="54" t="str">
        <f t="shared" si="41"/>
        <v/>
      </c>
    </row>
    <row r="851" spans="5:8" x14ac:dyDescent="0.25">
      <c r="E851" s="54" t="str">
        <f>IF(A851="","",SUMIF('Daftar Transaksi'!D:D,A851,'Daftar Transaksi'!F:F))</f>
        <v/>
      </c>
      <c r="F851" s="54" t="str">
        <f t="shared" si="39"/>
        <v/>
      </c>
      <c r="G851" s="54" t="str">
        <f t="shared" si="40"/>
        <v/>
      </c>
      <c r="H851" s="54" t="str">
        <f t="shared" si="41"/>
        <v/>
      </c>
    </row>
    <row r="852" spans="5:8" x14ac:dyDescent="0.25">
      <c r="E852" s="54" t="str">
        <f>IF(A852="","",SUMIF('Daftar Transaksi'!D:D,A852,'Daftar Transaksi'!F:F))</f>
        <v/>
      </c>
      <c r="F852" s="54" t="str">
        <f t="shared" si="39"/>
        <v/>
      </c>
      <c r="G852" s="54" t="str">
        <f t="shared" si="40"/>
        <v/>
      </c>
      <c r="H852" s="54" t="str">
        <f t="shared" si="41"/>
        <v/>
      </c>
    </row>
    <row r="853" spans="5:8" x14ac:dyDescent="0.25">
      <c r="E853" s="54" t="str">
        <f>IF(A853="","",SUMIF('Daftar Transaksi'!D:D,A853,'Daftar Transaksi'!F:F))</f>
        <v/>
      </c>
      <c r="F853" s="54" t="str">
        <f t="shared" si="39"/>
        <v/>
      </c>
      <c r="G853" s="54" t="str">
        <f t="shared" si="40"/>
        <v/>
      </c>
      <c r="H853" s="54" t="str">
        <f t="shared" si="41"/>
        <v/>
      </c>
    </row>
    <row r="854" spans="5:8" x14ac:dyDescent="0.25">
      <c r="E854" s="54" t="str">
        <f>IF(A854="","",SUMIF('Daftar Transaksi'!D:D,A854,'Daftar Transaksi'!F:F))</f>
        <v/>
      </c>
      <c r="F854" s="54" t="str">
        <f t="shared" si="39"/>
        <v/>
      </c>
      <c r="G854" s="54" t="str">
        <f t="shared" si="40"/>
        <v/>
      </c>
      <c r="H854" s="54" t="str">
        <f t="shared" si="41"/>
        <v/>
      </c>
    </row>
    <row r="855" spans="5:8" x14ac:dyDescent="0.25">
      <c r="E855" s="54" t="str">
        <f>IF(A855="","",SUMIF('Daftar Transaksi'!D:D,A855,'Daftar Transaksi'!F:F))</f>
        <v/>
      </c>
      <c r="F855" s="54" t="str">
        <f t="shared" si="39"/>
        <v/>
      </c>
      <c r="G855" s="54" t="str">
        <f t="shared" si="40"/>
        <v/>
      </c>
      <c r="H855" s="54" t="str">
        <f t="shared" si="41"/>
        <v/>
      </c>
    </row>
    <row r="856" spans="5:8" x14ac:dyDescent="0.25">
      <c r="E856" s="54" t="str">
        <f>IF(A856="","",SUMIF('Daftar Transaksi'!D:D,A856,'Daftar Transaksi'!F:F))</f>
        <v/>
      </c>
      <c r="F856" s="54" t="str">
        <f t="shared" si="39"/>
        <v/>
      </c>
      <c r="G856" s="54" t="str">
        <f t="shared" si="40"/>
        <v/>
      </c>
      <c r="H856" s="54" t="str">
        <f t="shared" si="41"/>
        <v/>
      </c>
    </row>
    <row r="857" spans="5:8" x14ac:dyDescent="0.25">
      <c r="E857" s="54" t="str">
        <f>IF(A857="","",SUMIF('Daftar Transaksi'!D:D,A857,'Daftar Transaksi'!F:F))</f>
        <v/>
      </c>
      <c r="F857" s="54" t="str">
        <f t="shared" si="39"/>
        <v/>
      </c>
      <c r="G857" s="54" t="str">
        <f t="shared" si="40"/>
        <v/>
      </c>
      <c r="H857" s="54" t="str">
        <f t="shared" si="41"/>
        <v/>
      </c>
    </row>
    <row r="858" spans="5:8" x14ac:dyDescent="0.25">
      <c r="E858" s="54" t="str">
        <f>IF(A858="","",SUMIF('Daftar Transaksi'!D:D,A858,'Daftar Transaksi'!F:F))</f>
        <v/>
      </c>
      <c r="F858" s="54" t="str">
        <f t="shared" si="39"/>
        <v/>
      </c>
      <c r="G858" s="54" t="str">
        <f t="shared" si="40"/>
        <v/>
      </c>
      <c r="H858" s="54" t="str">
        <f t="shared" si="41"/>
        <v/>
      </c>
    </row>
    <row r="859" spans="5:8" x14ac:dyDescent="0.25">
      <c r="E859" s="54" t="str">
        <f>IF(A859="","",SUMIF('Daftar Transaksi'!D:D,A859,'Daftar Transaksi'!F:F))</f>
        <v/>
      </c>
      <c r="F859" s="54" t="str">
        <f t="shared" si="39"/>
        <v/>
      </c>
      <c r="G859" s="54" t="str">
        <f t="shared" si="40"/>
        <v/>
      </c>
      <c r="H859" s="54" t="str">
        <f t="shared" si="41"/>
        <v/>
      </c>
    </row>
    <row r="860" spans="5:8" x14ac:dyDescent="0.25">
      <c r="E860" s="54" t="str">
        <f>IF(A860="","",SUMIF('Daftar Transaksi'!D:D,A860,'Daftar Transaksi'!F:F))</f>
        <v/>
      </c>
      <c r="F860" s="54" t="str">
        <f t="shared" si="39"/>
        <v/>
      </c>
      <c r="G860" s="54" t="str">
        <f t="shared" si="40"/>
        <v/>
      </c>
      <c r="H860" s="54" t="str">
        <f t="shared" si="41"/>
        <v/>
      </c>
    </row>
    <row r="861" spans="5:8" x14ac:dyDescent="0.25">
      <c r="E861" s="54" t="str">
        <f>IF(A861="","",SUMIF('Daftar Transaksi'!D:D,A861,'Daftar Transaksi'!F:F))</f>
        <v/>
      </c>
      <c r="F861" s="54" t="str">
        <f t="shared" si="39"/>
        <v/>
      </c>
      <c r="G861" s="54" t="str">
        <f t="shared" si="40"/>
        <v/>
      </c>
      <c r="H861" s="54" t="str">
        <f t="shared" si="41"/>
        <v/>
      </c>
    </row>
    <row r="862" spans="5:8" x14ac:dyDescent="0.25">
      <c r="E862" s="54" t="str">
        <f>IF(A862="","",SUMIF('Daftar Transaksi'!D:D,A862,'Daftar Transaksi'!F:F))</f>
        <v/>
      </c>
      <c r="F862" s="54" t="str">
        <f t="shared" si="39"/>
        <v/>
      </c>
      <c r="G862" s="54" t="str">
        <f t="shared" si="40"/>
        <v/>
      </c>
      <c r="H862" s="54" t="str">
        <f t="shared" si="41"/>
        <v/>
      </c>
    </row>
    <row r="863" spans="5:8" x14ac:dyDescent="0.25">
      <c r="E863" s="54" t="str">
        <f>IF(A863="","",SUMIF('Daftar Transaksi'!D:D,A863,'Daftar Transaksi'!F:F))</f>
        <v/>
      </c>
      <c r="F863" s="54" t="str">
        <f t="shared" si="39"/>
        <v/>
      </c>
      <c r="G863" s="54" t="str">
        <f t="shared" si="40"/>
        <v/>
      </c>
      <c r="H863" s="54" t="str">
        <f t="shared" si="41"/>
        <v/>
      </c>
    </row>
    <row r="864" spans="5:8" x14ac:dyDescent="0.25">
      <c r="E864" s="54" t="str">
        <f>IF(A864="","",SUMIF('Daftar Transaksi'!D:D,A864,'Daftar Transaksi'!F:F))</f>
        <v/>
      </c>
      <c r="F864" s="54" t="str">
        <f t="shared" si="39"/>
        <v/>
      </c>
      <c r="G864" s="54" t="str">
        <f t="shared" si="40"/>
        <v/>
      </c>
      <c r="H864" s="54" t="str">
        <f t="shared" si="41"/>
        <v/>
      </c>
    </row>
    <row r="865" spans="5:8" x14ac:dyDescent="0.25">
      <c r="E865" s="54" t="str">
        <f>IF(A865="","",SUMIF('Daftar Transaksi'!D:D,A865,'Daftar Transaksi'!F:F))</f>
        <v/>
      </c>
      <c r="F865" s="54" t="str">
        <f t="shared" si="39"/>
        <v/>
      </c>
      <c r="G865" s="54" t="str">
        <f t="shared" si="40"/>
        <v/>
      </c>
      <c r="H865" s="54" t="str">
        <f t="shared" si="41"/>
        <v/>
      </c>
    </row>
    <row r="866" spans="5:8" x14ac:dyDescent="0.25">
      <c r="E866" s="54" t="str">
        <f>IF(A866="","",SUMIF('Daftar Transaksi'!D:D,A866,'Daftar Transaksi'!F:F))</f>
        <v/>
      </c>
      <c r="F866" s="54" t="str">
        <f t="shared" si="39"/>
        <v/>
      </c>
      <c r="G866" s="54" t="str">
        <f t="shared" si="40"/>
        <v/>
      </c>
      <c r="H866" s="54" t="str">
        <f t="shared" si="41"/>
        <v/>
      </c>
    </row>
    <row r="867" spans="5:8" x14ac:dyDescent="0.25">
      <c r="E867" s="54" t="str">
        <f>IF(A867="","",SUMIF('Daftar Transaksi'!D:D,A867,'Daftar Transaksi'!F:F))</f>
        <v/>
      </c>
      <c r="F867" s="54" t="str">
        <f t="shared" si="39"/>
        <v/>
      </c>
      <c r="G867" s="54" t="str">
        <f t="shared" si="40"/>
        <v/>
      </c>
      <c r="H867" s="54" t="str">
        <f t="shared" si="41"/>
        <v/>
      </c>
    </row>
    <row r="868" spans="5:8" x14ac:dyDescent="0.25">
      <c r="E868" s="54" t="str">
        <f>IF(A868="","",SUMIF('Daftar Transaksi'!D:D,A868,'Daftar Transaksi'!F:F))</f>
        <v/>
      </c>
      <c r="F868" s="54" t="str">
        <f t="shared" si="39"/>
        <v/>
      </c>
      <c r="G868" s="54" t="str">
        <f t="shared" si="40"/>
        <v/>
      </c>
      <c r="H868" s="54" t="str">
        <f t="shared" si="41"/>
        <v/>
      </c>
    </row>
    <row r="869" spans="5:8" x14ac:dyDescent="0.25">
      <c r="E869" s="54" t="str">
        <f>IF(A869="","",SUMIF('Daftar Transaksi'!D:D,A869,'Daftar Transaksi'!F:F))</f>
        <v/>
      </c>
      <c r="F869" s="54" t="str">
        <f t="shared" si="39"/>
        <v/>
      </c>
      <c r="G869" s="54" t="str">
        <f t="shared" si="40"/>
        <v/>
      </c>
      <c r="H869" s="54" t="str">
        <f t="shared" si="41"/>
        <v/>
      </c>
    </row>
    <row r="870" spans="5:8" x14ac:dyDescent="0.25">
      <c r="E870" s="54" t="str">
        <f>IF(A870="","",SUMIF('Daftar Transaksi'!D:D,A870,'Daftar Transaksi'!F:F))</f>
        <v/>
      </c>
      <c r="F870" s="54" t="str">
        <f t="shared" si="39"/>
        <v/>
      </c>
      <c r="G870" s="54" t="str">
        <f t="shared" si="40"/>
        <v/>
      </c>
      <c r="H870" s="54" t="str">
        <f t="shared" si="41"/>
        <v/>
      </c>
    </row>
    <row r="871" spans="5:8" x14ac:dyDescent="0.25">
      <c r="E871" s="54" t="str">
        <f>IF(A871="","",SUMIF('Daftar Transaksi'!D:D,A871,'Daftar Transaksi'!F:F))</f>
        <v/>
      </c>
      <c r="F871" s="54" t="str">
        <f t="shared" si="39"/>
        <v/>
      </c>
      <c r="G871" s="54" t="str">
        <f t="shared" si="40"/>
        <v/>
      </c>
      <c r="H871" s="54" t="str">
        <f t="shared" si="41"/>
        <v/>
      </c>
    </row>
    <row r="872" spans="5:8" x14ac:dyDescent="0.25">
      <c r="E872" s="54" t="str">
        <f>IF(A872="","",SUMIF('Daftar Transaksi'!D:D,A872,'Daftar Transaksi'!F:F))</f>
        <v/>
      </c>
      <c r="F872" s="54" t="str">
        <f t="shared" si="39"/>
        <v/>
      </c>
      <c r="G872" s="54" t="str">
        <f t="shared" si="40"/>
        <v/>
      </c>
      <c r="H872" s="54" t="str">
        <f t="shared" si="41"/>
        <v/>
      </c>
    </row>
    <row r="873" spans="5:8" x14ac:dyDescent="0.25">
      <c r="E873" s="54" t="str">
        <f>IF(A873="","",SUMIF('Daftar Transaksi'!D:D,A873,'Daftar Transaksi'!F:F))</f>
        <v/>
      </c>
      <c r="F873" s="54" t="str">
        <f t="shared" si="39"/>
        <v/>
      </c>
      <c r="G873" s="54" t="str">
        <f t="shared" si="40"/>
        <v/>
      </c>
      <c r="H873" s="54" t="str">
        <f t="shared" si="41"/>
        <v/>
      </c>
    </row>
    <row r="874" spans="5:8" x14ac:dyDescent="0.25">
      <c r="E874" s="54" t="str">
        <f>IF(A874="","",SUMIF('Daftar Transaksi'!D:D,A874,'Daftar Transaksi'!F:F))</f>
        <v/>
      </c>
      <c r="F874" s="54" t="str">
        <f t="shared" si="39"/>
        <v/>
      </c>
      <c r="G874" s="54" t="str">
        <f t="shared" si="40"/>
        <v/>
      </c>
      <c r="H874" s="54" t="str">
        <f t="shared" si="41"/>
        <v/>
      </c>
    </row>
    <row r="875" spans="5:8" x14ac:dyDescent="0.25">
      <c r="E875" s="54" t="str">
        <f>IF(A875="","",SUMIF('Daftar Transaksi'!D:D,A875,'Daftar Transaksi'!F:F))</f>
        <v/>
      </c>
      <c r="F875" s="54" t="str">
        <f t="shared" si="39"/>
        <v/>
      </c>
      <c r="G875" s="54" t="str">
        <f t="shared" si="40"/>
        <v/>
      </c>
      <c r="H875" s="54" t="str">
        <f t="shared" si="41"/>
        <v/>
      </c>
    </row>
    <row r="876" spans="5:8" x14ac:dyDescent="0.25">
      <c r="E876" s="54" t="str">
        <f>IF(A876="","",SUMIF('Daftar Transaksi'!D:D,A876,'Daftar Transaksi'!F:F))</f>
        <v/>
      </c>
      <c r="F876" s="54" t="str">
        <f t="shared" si="39"/>
        <v/>
      </c>
      <c r="G876" s="54" t="str">
        <f t="shared" si="40"/>
        <v/>
      </c>
      <c r="H876" s="54" t="str">
        <f t="shared" si="41"/>
        <v/>
      </c>
    </row>
    <row r="877" spans="5:8" x14ac:dyDescent="0.25">
      <c r="E877" s="54" t="str">
        <f>IF(A877="","",SUMIF('Daftar Transaksi'!D:D,A877,'Daftar Transaksi'!F:F))</f>
        <v/>
      </c>
      <c r="F877" s="54" t="str">
        <f t="shared" si="39"/>
        <v/>
      </c>
      <c r="G877" s="54" t="str">
        <f t="shared" si="40"/>
        <v/>
      </c>
      <c r="H877" s="54" t="str">
        <f t="shared" si="41"/>
        <v/>
      </c>
    </row>
    <row r="878" spans="5:8" x14ac:dyDescent="0.25">
      <c r="E878" s="54" t="str">
        <f>IF(A878="","",SUMIF('Daftar Transaksi'!D:D,A878,'Daftar Transaksi'!F:F))</f>
        <v/>
      </c>
      <c r="F878" s="54" t="str">
        <f t="shared" si="39"/>
        <v/>
      </c>
      <c r="G878" s="54" t="str">
        <f t="shared" si="40"/>
        <v/>
      </c>
      <c r="H878" s="54" t="str">
        <f t="shared" si="41"/>
        <v/>
      </c>
    </row>
    <row r="879" spans="5:8" x14ac:dyDescent="0.25">
      <c r="E879" s="54" t="str">
        <f>IF(A879="","",SUMIF('Daftar Transaksi'!D:D,A879,'Daftar Transaksi'!F:F))</f>
        <v/>
      </c>
      <c r="F879" s="54" t="str">
        <f t="shared" si="39"/>
        <v/>
      </c>
      <c r="G879" s="54" t="str">
        <f t="shared" si="40"/>
        <v/>
      </c>
      <c r="H879" s="54" t="str">
        <f t="shared" si="41"/>
        <v/>
      </c>
    </row>
    <row r="880" spans="5:8" x14ac:dyDescent="0.25">
      <c r="E880" s="54" t="str">
        <f>IF(A880="","",SUMIF('Daftar Transaksi'!D:D,A880,'Daftar Transaksi'!F:F))</f>
        <v/>
      </c>
      <c r="F880" s="54" t="str">
        <f t="shared" si="39"/>
        <v/>
      </c>
      <c r="G880" s="54" t="str">
        <f t="shared" si="40"/>
        <v/>
      </c>
      <c r="H880" s="54" t="str">
        <f t="shared" si="41"/>
        <v/>
      </c>
    </row>
    <row r="881" spans="5:8" x14ac:dyDescent="0.25">
      <c r="E881" s="54" t="str">
        <f>IF(A881="","",SUMIF('Daftar Transaksi'!D:D,A881,'Daftar Transaksi'!F:F))</f>
        <v/>
      </c>
      <c r="F881" s="54" t="str">
        <f t="shared" si="39"/>
        <v/>
      </c>
      <c r="G881" s="54" t="str">
        <f t="shared" si="40"/>
        <v/>
      </c>
      <c r="H881" s="54" t="str">
        <f t="shared" si="41"/>
        <v/>
      </c>
    </row>
    <row r="882" spans="5:8" x14ac:dyDescent="0.25">
      <c r="E882" s="54" t="str">
        <f>IF(A882="","",SUMIF('Daftar Transaksi'!D:D,A882,'Daftar Transaksi'!F:F))</f>
        <v/>
      </c>
      <c r="F882" s="54" t="str">
        <f t="shared" si="39"/>
        <v/>
      </c>
      <c r="G882" s="54" t="str">
        <f t="shared" si="40"/>
        <v/>
      </c>
      <c r="H882" s="54" t="str">
        <f t="shared" si="41"/>
        <v/>
      </c>
    </row>
    <row r="883" spans="5:8" x14ac:dyDescent="0.25">
      <c r="E883" s="54" t="str">
        <f>IF(A883="","",SUMIF('Daftar Transaksi'!D:D,A883,'Daftar Transaksi'!F:F))</f>
        <v/>
      </c>
      <c r="F883" s="54" t="str">
        <f t="shared" si="39"/>
        <v/>
      </c>
      <c r="G883" s="54" t="str">
        <f t="shared" si="40"/>
        <v/>
      </c>
      <c r="H883" s="54" t="str">
        <f t="shared" si="41"/>
        <v/>
      </c>
    </row>
    <row r="884" spans="5:8" x14ac:dyDescent="0.25">
      <c r="E884" s="54" t="str">
        <f>IF(A884="","",SUMIF('Daftar Transaksi'!D:D,A884,'Daftar Transaksi'!F:F))</f>
        <v/>
      </c>
      <c r="F884" s="54" t="str">
        <f t="shared" si="39"/>
        <v/>
      </c>
      <c r="G884" s="54" t="str">
        <f t="shared" si="40"/>
        <v/>
      </c>
      <c r="H884" s="54" t="str">
        <f t="shared" si="41"/>
        <v/>
      </c>
    </row>
    <row r="885" spans="5:8" x14ac:dyDescent="0.25">
      <c r="E885" s="54" t="str">
        <f>IF(A885="","",SUMIF('Daftar Transaksi'!D:D,A885,'Daftar Transaksi'!F:F))</f>
        <v/>
      </c>
      <c r="F885" s="54" t="str">
        <f t="shared" si="39"/>
        <v/>
      </c>
      <c r="G885" s="54" t="str">
        <f t="shared" si="40"/>
        <v/>
      </c>
      <c r="H885" s="54" t="str">
        <f t="shared" si="41"/>
        <v/>
      </c>
    </row>
    <row r="886" spans="5:8" x14ac:dyDescent="0.25">
      <c r="E886" s="54" t="str">
        <f>IF(A886="","",SUMIF('Daftar Transaksi'!D:D,A886,'Daftar Transaksi'!F:F))</f>
        <v/>
      </c>
      <c r="F886" s="54" t="str">
        <f t="shared" si="39"/>
        <v/>
      </c>
      <c r="G886" s="54" t="str">
        <f t="shared" si="40"/>
        <v/>
      </c>
      <c r="H886" s="54" t="str">
        <f t="shared" si="41"/>
        <v/>
      </c>
    </row>
    <row r="887" spans="5:8" x14ac:dyDescent="0.25">
      <c r="E887" s="54" t="str">
        <f>IF(A887="","",SUMIF('Daftar Transaksi'!D:D,A887,'Daftar Transaksi'!F:F))</f>
        <v/>
      </c>
      <c r="F887" s="54" t="str">
        <f t="shared" si="39"/>
        <v/>
      </c>
      <c r="G887" s="54" t="str">
        <f t="shared" si="40"/>
        <v/>
      </c>
      <c r="H887" s="54" t="str">
        <f t="shared" si="41"/>
        <v/>
      </c>
    </row>
    <row r="888" spans="5:8" x14ac:dyDescent="0.25">
      <c r="E888" s="54" t="str">
        <f>IF(A888="","",SUMIF('Daftar Transaksi'!D:D,A888,'Daftar Transaksi'!F:F))</f>
        <v/>
      </c>
      <c r="F888" s="54" t="str">
        <f t="shared" si="39"/>
        <v/>
      </c>
      <c r="G888" s="54" t="str">
        <f t="shared" si="40"/>
        <v/>
      </c>
      <c r="H888" s="54" t="str">
        <f t="shared" si="41"/>
        <v/>
      </c>
    </row>
    <row r="889" spans="5:8" x14ac:dyDescent="0.25">
      <c r="E889" s="54" t="str">
        <f>IF(A889="","",SUMIF('Daftar Transaksi'!D:D,A889,'Daftar Transaksi'!F:F))</f>
        <v/>
      </c>
      <c r="F889" s="54" t="str">
        <f t="shared" si="39"/>
        <v/>
      </c>
      <c r="G889" s="54" t="str">
        <f t="shared" si="40"/>
        <v/>
      </c>
      <c r="H889" s="54" t="str">
        <f t="shared" si="41"/>
        <v/>
      </c>
    </row>
    <row r="890" spans="5:8" x14ac:dyDescent="0.25">
      <c r="E890" s="54" t="str">
        <f>IF(A890="","",SUMIF('Daftar Transaksi'!D:D,A890,'Daftar Transaksi'!F:F))</f>
        <v/>
      </c>
      <c r="F890" s="54" t="str">
        <f t="shared" si="39"/>
        <v/>
      </c>
      <c r="G890" s="54" t="str">
        <f t="shared" si="40"/>
        <v/>
      </c>
      <c r="H890" s="54" t="str">
        <f t="shared" si="41"/>
        <v/>
      </c>
    </row>
    <row r="891" spans="5:8" x14ac:dyDescent="0.25">
      <c r="E891" s="54" t="str">
        <f>IF(A891="","",SUMIF('Daftar Transaksi'!D:D,A891,'Daftar Transaksi'!F:F))</f>
        <v/>
      </c>
      <c r="F891" s="54" t="str">
        <f t="shared" si="39"/>
        <v/>
      </c>
      <c r="G891" s="54" t="str">
        <f t="shared" si="40"/>
        <v/>
      </c>
      <c r="H891" s="54" t="str">
        <f t="shared" si="41"/>
        <v/>
      </c>
    </row>
    <row r="892" spans="5:8" x14ac:dyDescent="0.25">
      <c r="E892" s="54" t="str">
        <f>IF(A892="","",SUMIF('Daftar Transaksi'!D:D,A892,'Daftar Transaksi'!F:F))</f>
        <v/>
      </c>
      <c r="F892" s="54" t="str">
        <f t="shared" si="39"/>
        <v/>
      </c>
      <c r="G892" s="54" t="str">
        <f t="shared" si="40"/>
        <v/>
      </c>
      <c r="H892" s="54" t="str">
        <f t="shared" si="41"/>
        <v/>
      </c>
    </row>
    <row r="893" spans="5:8" x14ac:dyDescent="0.25">
      <c r="E893" s="54" t="str">
        <f>IF(A893="","",SUMIF('Daftar Transaksi'!D:D,A893,'Daftar Transaksi'!F:F))</f>
        <v/>
      </c>
      <c r="F893" s="54" t="str">
        <f t="shared" si="39"/>
        <v/>
      </c>
      <c r="G893" s="54" t="str">
        <f t="shared" si="40"/>
        <v/>
      </c>
      <c r="H893" s="54" t="str">
        <f t="shared" si="41"/>
        <v/>
      </c>
    </row>
    <row r="894" spans="5:8" x14ac:dyDescent="0.25">
      <c r="E894" s="54" t="str">
        <f>IF(A894="","",SUMIF('Daftar Transaksi'!D:D,A894,'Daftar Transaksi'!F:F))</f>
        <v/>
      </c>
      <c r="F894" s="54" t="str">
        <f t="shared" si="39"/>
        <v/>
      </c>
      <c r="G894" s="54" t="str">
        <f t="shared" si="40"/>
        <v/>
      </c>
      <c r="H894" s="54" t="str">
        <f t="shared" si="41"/>
        <v/>
      </c>
    </row>
    <row r="895" spans="5:8" x14ac:dyDescent="0.25">
      <c r="E895" s="54" t="str">
        <f>IF(A895="","",SUMIF('Daftar Transaksi'!D:D,A895,'Daftar Transaksi'!F:F))</f>
        <v/>
      </c>
      <c r="F895" s="54" t="str">
        <f t="shared" ref="F895:F958" si="42">IF(A895="","",D895-E895)</f>
        <v/>
      </c>
      <c r="G895" s="54" t="str">
        <f t="shared" ref="G895:G958" si="43">IF(A895="","",C895*E895)</f>
        <v/>
      </c>
      <c r="H895" s="54" t="str">
        <f t="shared" ref="H895:H958" si="44">IF(A895="","",G895-(B895*E895))</f>
        <v/>
      </c>
    </row>
    <row r="896" spans="5:8" x14ac:dyDescent="0.25">
      <c r="E896" s="54" t="str">
        <f>IF(A896="","",SUMIF('Daftar Transaksi'!D:D,A896,'Daftar Transaksi'!F:F))</f>
        <v/>
      </c>
      <c r="F896" s="54" t="str">
        <f t="shared" si="42"/>
        <v/>
      </c>
      <c r="G896" s="54" t="str">
        <f t="shared" si="43"/>
        <v/>
      </c>
      <c r="H896" s="54" t="str">
        <f t="shared" si="44"/>
        <v/>
      </c>
    </row>
    <row r="897" spans="5:8" x14ac:dyDescent="0.25">
      <c r="E897" s="54" t="str">
        <f>IF(A897="","",SUMIF('Daftar Transaksi'!D:D,A897,'Daftar Transaksi'!F:F))</f>
        <v/>
      </c>
      <c r="F897" s="54" t="str">
        <f t="shared" si="42"/>
        <v/>
      </c>
      <c r="G897" s="54" t="str">
        <f t="shared" si="43"/>
        <v/>
      </c>
      <c r="H897" s="54" t="str">
        <f t="shared" si="44"/>
        <v/>
      </c>
    </row>
    <row r="898" spans="5:8" x14ac:dyDescent="0.25">
      <c r="E898" s="54" t="str">
        <f>IF(A898="","",SUMIF('Daftar Transaksi'!D:D,A898,'Daftar Transaksi'!F:F))</f>
        <v/>
      </c>
      <c r="F898" s="54" t="str">
        <f t="shared" si="42"/>
        <v/>
      </c>
      <c r="G898" s="54" t="str">
        <f t="shared" si="43"/>
        <v/>
      </c>
      <c r="H898" s="54" t="str">
        <f t="shared" si="44"/>
        <v/>
      </c>
    </row>
    <row r="899" spans="5:8" x14ac:dyDescent="0.25">
      <c r="E899" s="54" t="str">
        <f>IF(A899="","",SUMIF('Daftar Transaksi'!D:D,A899,'Daftar Transaksi'!F:F))</f>
        <v/>
      </c>
      <c r="F899" s="54" t="str">
        <f t="shared" si="42"/>
        <v/>
      </c>
      <c r="G899" s="54" t="str">
        <f t="shared" si="43"/>
        <v/>
      </c>
      <c r="H899" s="54" t="str">
        <f t="shared" si="44"/>
        <v/>
      </c>
    </row>
    <row r="900" spans="5:8" x14ac:dyDescent="0.25">
      <c r="E900" s="54" t="str">
        <f>IF(A900="","",SUMIF('Daftar Transaksi'!D:D,A900,'Daftar Transaksi'!F:F))</f>
        <v/>
      </c>
      <c r="F900" s="54" t="str">
        <f t="shared" si="42"/>
        <v/>
      </c>
      <c r="G900" s="54" t="str">
        <f t="shared" si="43"/>
        <v/>
      </c>
      <c r="H900" s="54" t="str">
        <f t="shared" si="44"/>
        <v/>
      </c>
    </row>
    <row r="901" spans="5:8" x14ac:dyDescent="0.25">
      <c r="E901" s="54" t="str">
        <f>IF(A901="","",SUMIF('Daftar Transaksi'!D:D,A901,'Daftar Transaksi'!F:F))</f>
        <v/>
      </c>
      <c r="F901" s="54" t="str">
        <f t="shared" si="42"/>
        <v/>
      </c>
      <c r="G901" s="54" t="str">
        <f t="shared" si="43"/>
        <v/>
      </c>
      <c r="H901" s="54" t="str">
        <f t="shared" si="44"/>
        <v/>
      </c>
    </row>
    <row r="902" spans="5:8" x14ac:dyDescent="0.25">
      <c r="E902" s="54" t="str">
        <f>IF(A902="","",SUMIF('Daftar Transaksi'!D:D,A902,'Daftar Transaksi'!F:F))</f>
        <v/>
      </c>
      <c r="F902" s="54" t="str">
        <f t="shared" si="42"/>
        <v/>
      </c>
      <c r="G902" s="54" t="str">
        <f t="shared" si="43"/>
        <v/>
      </c>
      <c r="H902" s="54" t="str">
        <f t="shared" si="44"/>
        <v/>
      </c>
    </row>
    <row r="903" spans="5:8" x14ac:dyDescent="0.25">
      <c r="E903" s="54" t="str">
        <f>IF(A903="","",SUMIF('Daftar Transaksi'!D:D,A903,'Daftar Transaksi'!F:F))</f>
        <v/>
      </c>
      <c r="F903" s="54" t="str">
        <f t="shared" si="42"/>
        <v/>
      </c>
      <c r="G903" s="54" t="str">
        <f t="shared" si="43"/>
        <v/>
      </c>
      <c r="H903" s="54" t="str">
        <f t="shared" si="44"/>
        <v/>
      </c>
    </row>
    <row r="904" spans="5:8" x14ac:dyDescent="0.25">
      <c r="E904" s="54" t="str">
        <f>IF(A904="","",SUMIF('Daftar Transaksi'!D:D,A904,'Daftar Transaksi'!F:F))</f>
        <v/>
      </c>
      <c r="F904" s="54" t="str">
        <f t="shared" si="42"/>
        <v/>
      </c>
      <c r="G904" s="54" t="str">
        <f t="shared" si="43"/>
        <v/>
      </c>
      <c r="H904" s="54" t="str">
        <f t="shared" si="44"/>
        <v/>
      </c>
    </row>
    <row r="905" spans="5:8" x14ac:dyDescent="0.25">
      <c r="E905" s="54" t="str">
        <f>IF(A905="","",SUMIF('Daftar Transaksi'!D:D,A905,'Daftar Transaksi'!F:F))</f>
        <v/>
      </c>
      <c r="F905" s="54" t="str">
        <f t="shared" si="42"/>
        <v/>
      </c>
      <c r="G905" s="54" t="str">
        <f t="shared" si="43"/>
        <v/>
      </c>
      <c r="H905" s="54" t="str">
        <f t="shared" si="44"/>
        <v/>
      </c>
    </row>
    <row r="906" spans="5:8" x14ac:dyDescent="0.25">
      <c r="E906" s="54" t="str">
        <f>IF(A906="","",SUMIF('Daftar Transaksi'!D:D,A906,'Daftar Transaksi'!F:F))</f>
        <v/>
      </c>
      <c r="F906" s="54" t="str">
        <f t="shared" si="42"/>
        <v/>
      </c>
      <c r="G906" s="54" t="str">
        <f t="shared" si="43"/>
        <v/>
      </c>
      <c r="H906" s="54" t="str">
        <f t="shared" si="44"/>
        <v/>
      </c>
    </row>
    <row r="907" spans="5:8" x14ac:dyDescent="0.25">
      <c r="E907" s="54" t="str">
        <f>IF(A907="","",SUMIF('Daftar Transaksi'!D:D,A907,'Daftar Transaksi'!F:F))</f>
        <v/>
      </c>
      <c r="F907" s="54" t="str">
        <f t="shared" si="42"/>
        <v/>
      </c>
      <c r="G907" s="54" t="str">
        <f t="shared" si="43"/>
        <v/>
      </c>
      <c r="H907" s="54" t="str">
        <f t="shared" si="44"/>
        <v/>
      </c>
    </row>
    <row r="908" spans="5:8" x14ac:dyDescent="0.25">
      <c r="E908" s="54" t="str">
        <f>IF(A908="","",SUMIF('Daftar Transaksi'!D:D,A908,'Daftar Transaksi'!F:F))</f>
        <v/>
      </c>
      <c r="F908" s="54" t="str">
        <f t="shared" si="42"/>
        <v/>
      </c>
      <c r="G908" s="54" t="str">
        <f t="shared" si="43"/>
        <v/>
      </c>
      <c r="H908" s="54" t="str">
        <f t="shared" si="44"/>
        <v/>
      </c>
    </row>
    <row r="909" spans="5:8" x14ac:dyDescent="0.25">
      <c r="E909" s="54" t="str">
        <f>IF(A909="","",SUMIF('Daftar Transaksi'!D:D,A909,'Daftar Transaksi'!F:F))</f>
        <v/>
      </c>
      <c r="F909" s="54" t="str">
        <f t="shared" si="42"/>
        <v/>
      </c>
      <c r="G909" s="54" t="str">
        <f t="shared" si="43"/>
        <v/>
      </c>
      <c r="H909" s="54" t="str">
        <f t="shared" si="44"/>
        <v/>
      </c>
    </row>
    <row r="910" spans="5:8" x14ac:dyDescent="0.25">
      <c r="E910" s="54" t="str">
        <f>IF(A910="","",SUMIF('Daftar Transaksi'!D:D,A910,'Daftar Transaksi'!F:F))</f>
        <v/>
      </c>
      <c r="F910" s="54" t="str">
        <f t="shared" si="42"/>
        <v/>
      </c>
      <c r="G910" s="54" t="str">
        <f t="shared" si="43"/>
        <v/>
      </c>
      <c r="H910" s="54" t="str">
        <f t="shared" si="44"/>
        <v/>
      </c>
    </row>
    <row r="911" spans="5:8" x14ac:dyDescent="0.25">
      <c r="E911" s="54" t="str">
        <f>IF(A911="","",SUMIF('Daftar Transaksi'!D:D,A911,'Daftar Transaksi'!F:F))</f>
        <v/>
      </c>
      <c r="F911" s="54" t="str">
        <f t="shared" si="42"/>
        <v/>
      </c>
      <c r="G911" s="54" t="str">
        <f t="shared" si="43"/>
        <v/>
      </c>
      <c r="H911" s="54" t="str">
        <f t="shared" si="44"/>
        <v/>
      </c>
    </row>
    <row r="912" spans="5:8" x14ac:dyDescent="0.25">
      <c r="E912" s="54" t="str">
        <f>IF(A912="","",SUMIF('Daftar Transaksi'!D:D,A912,'Daftar Transaksi'!F:F))</f>
        <v/>
      </c>
      <c r="F912" s="54" t="str">
        <f t="shared" si="42"/>
        <v/>
      </c>
      <c r="G912" s="54" t="str">
        <f t="shared" si="43"/>
        <v/>
      </c>
      <c r="H912" s="54" t="str">
        <f t="shared" si="44"/>
        <v/>
      </c>
    </row>
    <row r="913" spans="5:8" x14ac:dyDescent="0.25">
      <c r="E913" s="54" t="str">
        <f>IF(A913="","",SUMIF('Daftar Transaksi'!D:D,A913,'Daftar Transaksi'!F:F))</f>
        <v/>
      </c>
      <c r="F913" s="54" t="str">
        <f t="shared" si="42"/>
        <v/>
      </c>
      <c r="G913" s="54" t="str">
        <f t="shared" si="43"/>
        <v/>
      </c>
      <c r="H913" s="54" t="str">
        <f t="shared" si="44"/>
        <v/>
      </c>
    </row>
    <row r="914" spans="5:8" x14ac:dyDescent="0.25">
      <c r="E914" s="54" t="str">
        <f>IF(A914="","",SUMIF('Daftar Transaksi'!D:D,A914,'Daftar Transaksi'!F:F))</f>
        <v/>
      </c>
      <c r="F914" s="54" t="str">
        <f t="shared" si="42"/>
        <v/>
      </c>
      <c r="G914" s="54" t="str">
        <f t="shared" si="43"/>
        <v/>
      </c>
      <c r="H914" s="54" t="str">
        <f t="shared" si="44"/>
        <v/>
      </c>
    </row>
    <row r="915" spans="5:8" x14ac:dyDescent="0.25">
      <c r="E915" s="54" t="str">
        <f>IF(A915="","",SUMIF('Daftar Transaksi'!D:D,A915,'Daftar Transaksi'!F:F))</f>
        <v/>
      </c>
      <c r="F915" s="54" t="str">
        <f t="shared" si="42"/>
        <v/>
      </c>
      <c r="G915" s="54" t="str">
        <f t="shared" si="43"/>
        <v/>
      </c>
      <c r="H915" s="54" t="str">
        <f t="shared" si="44"/>
        <v/>
      </c>
    </row>
    <row r="916" spans="5:8" x14ac:dyDescent="0.25">
      <c r="E916" s="54" t="str">
        <f>IF(A916="","",SUMIF('Daftar Transaksi'!D:D,A916,'Daftar Transaksi'!F:F))</f>
        <v/>
      </c>
      <c r="F916" s="54" t="str">
        <f t="shared" si="42"/>
        <v/>
      </c>
      <c r="G916" s="54" t="str">
        <f t="shared" si="43"/>
        <v/>
      </c>
      <c r="H916" s="54" t="str">
        <f t="shared" si="44"/>
        <v/>
      </c>
    </row>
    <row r="917" spans="5:8" x14ac:dyDescent="0.25">
      <c r="E917" s="54" t="str">
        <f>IF(A917="","",SUMIF('Daftar Transaksi'!D:D,A917,'Daftar Transaksi'!F:F))</f>
        <v/>
      </c>
      <c r="F917" s="54" t="str">
        <f t="shared" si="42"/>
        <v/>
      </c>
      <c r="G917" s="54" t="str">
        <f t="shared" si="43"/>
        <v/>
      </c>
      <c r="H917" s="54" t="str">
        <f t="shared" si="44"/>
        <v/>
      </c>
    </row>
    <row r="918" spans="5:8" x14ac:dyDescent="0.25">
      <c r="E918" s="54" t="str">
        <f>IF(A918="","",SUMIF('Daftar Transaksi'!D:D,A918,'Daftar Transaksi'!F:F))</f>
        <v/>
      </c>
      <c r="F918" s="54" t="str">
        <f t="shared" si="42"/>
        <v/>
      </c>
      <c r="G918" s="54" t="str">
        <f t="shared" si="43"/>
        <v/>
      </c>
      <c r="H918" s="54" t="str">
        <f t="shared" si="44"/>
        <v/>
      </c>
    </row>
    <row r="919" spans="5:8" x14ac:dyDescent="0.25">
      <c r="E919" s="54" t="str">
        <f>IF(A919="","",SUMIF('Daftar Transaksi'!D:D,A919,'Daftar Transaksi'!F:F))</f>
        <v/>
      </c>
      <c r="F919" s="54" t="str">
        <f t="shared" si="42"/>
        <v/>
      </c>
      <c r="G919" s="54" t="str">
        <f t="shared" si="43"/>
        <v/>
      </c>
      <c r="H919" s="54" t="str">
        <f t="shared" si="44"/>
        <v/>
      </c>
    </row>
    <row r="920" spans="5:8" x14ac:dyDescent="0.25">
      <c r="E920" s="54" t="str">
        <f>IF(A920="","",SUMIF('Daftar Transaksi'!D:D,A920,'Daftar Transaksi'!F:F))</f>
        <v/>
      </c>
      <c r="F920" s="54" t="str">
        <f t="shared" si="42"/>
        <v/>
      </c>
      <c r="G920" s="54" t="str">
        <f t="shared" si="43"/>
        <v/>
      </c>
      <c r="H920" s="54" t="str">
        <f t="shared" si="44"/>
        <v/>
      </c>
    </row>
    <row r="921" spans="5:8" x14ac:dyDescent="0.25">
      <c r="E921" s="54" t="str">
        <f>IF(A921="","",SUMIF('Daftar Transaksi'!D:D,A921,'Daftar Transaksi'!F:F))</f>
        <v/>
      </c>
      <c r="F921" s="54" t="str">
        <f t="shared" si="42"/>
        <v/>
      </c>
      <c r="G921" s="54" t="str">
        <f t="shared" si="43"/>
        <v/>
      </c>
      <c r="H921" s="54" t="str">
        <f t="shared" si="44"/>
        <v/>
      </c>
    </row>
    <row r="922" spans="5:8" x14ac:dyDescent="0.25">
      <c r="E922" s="54" t="str">
        <f>IF(A922="","",SUMIF('Daftar Transaksi'!D:D,A922,'Daftar Transaksi'!F:F))</f>
        <v/>
      </c>
      <c r="F922" s="54" t="str">
        <f t="shared" si="42"/>
        <v/>
      </c>
      <c r="G922" s="54" t="str">
        <f t="shared" si="43"/>
        <v/>
      </c>
      <c r="H922" s="54" t="str">
        <f t="shared" si="44"/>
        <v/>
      </c>
    </row>
    <row r="923" spans="5:8" x14ac:dyDescent="0.25">
      <c r="E923" s="54" t="str">
        <f>IF(A923="","",SUMIF('Daftar Transaksi'!D:D,A923,'Daftar Transaksi'!F:F))</f>
        <v/>
      </c>
      <c r="F923" s="54" t="str">
        <f t="shared" si="42"/>
        <v/>
      </c>
      <c r="G923" s="54" t="str">
        <f t="shared" si="43"/>
        <v/>
      </c>
      <c r="H923" s="54" t="str">
        <f t="shared" si="44"/>
        <v/>
      </c>
    </row>
    <row r="924" spans="5:8" x14ac:dyDescent="0.25">
      <c r="E924" s="54" t="str">
        <f>IF(A924="","",SUMIF('Daftar Transaksi'!D:D,A924,'Daftar Transaksi'!F:F))</f>
        <v/>
      </c>
      <c r="F924" s="54" t="str">
        <f t="shared" si="42"/>
        <v/>
      </c>
      <c r="G924" s="54" t="str">
        <f t="shared" si="43"/>
        <v/>
      </c>
      <c r="H924" s="54" t="str">
        <f t="shared" si="44"/>
        <v/>
      </c>
    </row>
    <row r="925" spans="5:8" x14ac:dyDescent="0.25">
      <c r="E925" s="54" t="str">
        <f>IF(A925="","",SUMIF('Daftar Transaksi'!D:D,A925,'Daftar Transaksi'!F:F))</f>
        <v/>
      </c>
      <c r="F925" s="54" t="str">
        <f t="shared" si="42"/>
        <v/>
      </c>
      <c r="G925" s="54" t="str">
        <f t="shared" si="43"/>
        <v/>
      </c>
      <c r="H925" s="54" t="str">
        <f t="shared" si="44"/>
        <v/>
      </c>
    </row>
    <row r="926" spans="5:8" x14ac:dyDescent="0.25">
      <c r="E926" s="54" t="str">
        <f>IF(A926="","",SUMIF('Daftar Transaksi'!D:D,A926,'Daftar Transaksi'!F:F))</f>
        <v/>
      </c>
      <c r="F926" s="54" t="str">
        <f t="shared" si="42"/>
        <v/>
      </c>
      <c r="G926" s="54" t="str">
        <f t="shared" si="43"/>
        <v/>
      </c>
      <c r="H926" s="54" t="str">
        <f t="shared" si="44"/>
        <v/>
      </c>
    </row>
    <row r="927" spans="5:8" x14ac:dyDescent="0.25">
      <c r="E927" s="54" t="str">
        <f>IF(A927="","",SUMIF('Daftar Transaksi'!D:D,A927,'Daftar Transaksi'!F:F))</f>
        <v/>
      </c>
      <c r="F927" s="54" t="str">
        <f t="shared" si="42"/>
        <v/>
      </c>
      <c r="G927" s="54" t="str">
        <f t="shared" si="43"/>
        <v/>
      </c>
      <c r="H927" s="54" t="str">
        <f t="shared" si="44"/>
        <v/>
      </c>
    </row>
    <row r="928" spans="5:8" x14ac:dyDescent="0.25">
      <c r="E928" s="54" t="str">
        <f>IF(A928="","",SUMIF('Daftar Transaksi'!D:D,A928,'Daftar Transaksi'!F:F))</f>
        <v/>
      </c>
      <c r="F928" s="54" t="str">
        <f t="shared" si="42"/>
        <v/>
      </c>
      <c r="G928" s="54" t="str">
        <f t="shared" si="43"/>
        <v/>
      </c>
      <c r="H928" s="54" t="str">
        <f t="shared" si="44"/>
        <v/>
      </c>
    </row>
    <row r="929" spans="5:8" x14ac:dyDescent="0.25">
      <c r="E929" s="54" t="str">
        <f>IF(A929="","",SUMIF('Daftar Transaksi'!D:D,A929,'Daftar Transaksi'!F:F))</f>
        <v/>
      </c>
      <c r="F929" s="54" t="str">
        <f t="shared" si="42"/>
        <v/>
      </c>
      <c r="G929" s="54" t="str">
        <f t="shared" si="43"/>
        <v/>
      </c>
      <c r="H929" s="54" t="str">
        <f t="shared" si="44"/>
        <v/>
      </c>
    </row>
    <row r="930" spans="5:8" x14ac:dyDescent="0.25">
      <c r="E930" s="54" t="str">
        <f>IF(A930="","",SUMIF('Daftar Transaksi'!D:D,A930,'Daftar Transaksi'!F:F))</f>
        <v/>
      </c>
      <c r="F930" s="54" t="str">
        <f t="shared" si="42"/>
        <v/>
      </c>
      <c r="G930" s="54" t="str">
        <f t="shared" si="43"/>
        <v/>
      </c>
      <c r="H930" s="54" t="str">
        <f t="shared" si="44"/>
        <v/>
      </c>
    </row>
    <row r="931" spans="5:8" x14ac:dyDescent="0.25">
      <c r="E931" s="54" t="str">
        <f>IF(A931="","",SUMIF('Daftar Transaksi'!D:D,A931,'Daftar Transaksi'!F:F))</f>
        <v/>
      </c>
      <c r="F931" s="54" t="str">
        <f t="shared" si="42"/>
        <v/>
      </c>
      <c r="G931" s="54" t="str">
        <f t="shared" si="43"/>
        <v/>
      </c>
      <c r="H931" s="54" t="str">
        <f t="shared" si="44"/>
        <v/>
      </c>
    </row>
    <row r="932" spans="5:8" x14ac:dyDescent="0.25">
      <c r="E932" s="54" t="str">
        <f>IF(A932="","",SUMIF('Daftar Transaksi'!D:D,A932,'Daftar Transaksi'!F:F))</f>
        <v/>
      </c>
      <c r="F932" s="54" t="str">
        <f t="shared" si="42"/>
        <v/>
      </c>
      <c r="G932" s="54" t="str">
        <f t="shared" si="43"/>
        <v/>
      </c>
      <c r="H932" s="54" t="str">
        <f t="shared" si="44"/>
        <v/>
      </c>
    </row>
    <row r="933" spans="5:8" x14ac:dyDescent="0.25">
      <c r="E933" s="54" t="str">
        <f>IF(A933="","",SUMIF('Daftar Transaksi'!D:D,A933,'Daftar Transaksi'!F:F))</f>
        <v/>
      </c>
      <c r="F933" s="54" t="str">
        <f t="shared" si="42"/>
        <v/>
      </c>
      <c r="G933" s="54" t="str">
        <f t="shared" si="43"/>
        <v/>
      </c>
      <c r="H933" s="54" t="str">
        <f t="shared" si="44"/>
        <v/>
      </c>
    </row>
    <row r="934" spans="5:8" x14ac:dyDescent="0.25">
      <c r="E934" s="54" t="str">
        <f>IF(A934="","",SUMIF('Daftar Transaksi'!D:D,A934,'Daftar Transaksi'!F:F))</f>
        <v/>
      </c>
      <c r="F934" s="54" t="str">
        <f t="shared" si="42"/>
        <v/>
      </c>
      <c r="G934" s="54" t="str">
        <f t="shared" si="43"/>
        <v/>
      </c>
      <c r="H934" s="54" t="str">
        <f t="shared" si="44"/>
        <v/>
      </c>
    </row>
    <row r="935" spans="5:8" x14ac:dyDescent="0.25">
      <c r="E935" s="54" t="str">
        <f>IF(A935="","",SUMIF('Daftar Transaksi'!D:D,A935,'Daftar Transaksi'!F:F))</f>
        <v/>
      </c>
      <c r="F935" s="54" t="str">
        <f t="shared" si="42"/>
        <v/>
      </c>
      <c r="G935" s="54" t="str">
        <f t="shared" si="43"/>
        <v/>
      </c>
      <c r="H935" s="54" t="str">
        <f t="shared" si="44"/>
        <v/>
      </c>
    </row>
    <row r="936" spans="5:8" x14ac:dyDescent="0.25">
      <c r="E936" s="54" t="str">
        <f>IF(A936="","",SUMIF('Daftar Transaksi'!D:D,A936,'Daftar Transaksi'!F:F))</f>
        <v/>
      </c>
      <c r="F936" s="54" t="str">
        <f t="shared" si="42"/>
        <v/>
      </c>
      <c r="G936" s="54" t="str">
        <f t="shared" si="43"/>
        <v/>
      </c>
      <c r="H936" s="54" t="str">
        <f t="shared" si="44"/>
        <v/>
      </c>
    </row>
    <row r="937" spans="5:8" x14ac:dyDescent="0.25">
      <c r="E937" s="54" t="str">
        <f>IF(A937="","",SUMIF('Daftar Transaksi'!D:D,A937,'Daftar Transaksi'!F:F))</f>
        <v/>
      </c>
      <c r="F937" s="54" t="str">
        <f t="shared" si="42"/>
        <v/>
      </c>
      <c r="G937" s="54" t="str">
        <f t="shared" si="43"/>
        <v/>
      </c>
      <c r="H937" s="54" t="str">
        <f t="shared" si="44"/>
        <v/>
      </c>
    </row>
    <row r="938" spans="5:8" x14ac:dyDescent="0.25">
      <c r="E938" s="54" t="str">
        <f>IF(A938="","",SUMIF('Daftar Transaksi'!D:D,A938,'Daftar Transaksi'!F:F))</f>
        <v/>
      </c>
      <c r="F938" s="54" t="str">
        <f t="shared" si="42"/>
        <v/>
      </c>
      <c r="G938" s="54" t="str">
        <f t="shared" si="43"/>
        <v/>
      </c>
      <c r="H938" s="54" t="str">
        <f t="shared" si="44"/>
        <v/>
      </c>
    </row>
    <row r="939" spans="5:8" x14ac:dyDescent="0.25">
      <c r="E939" s="54" t="str">
        <f>IF(A939="","",SUMIF('Daftar Transaksi'!D:D,A939,'Daftar Transaksi'!F:F))</f>
        <v/>
      </c>
      <c r="F939" s="54" t="str">
        <f t="shared" si="42"/>
        <v/>
      </c>
      <c r="G939" s="54" t="str">
        <f t="shared" si="43"/>
        <v/>
      </c>
      <c r="H939" s="54" t="str">
        <f t="shared" si="44"/>
        <v/>
      </c>
    </row>
    <row r="940" spans="5:8" x14ac:dyDescent="0.25">
      <c r="E940" s="54" t="str">
        <f>IF(A940="","",SUMIF('Daftar Transaksi'!D:D,A940,'Daftar Transaksi'!F:F))</f>
        <v/>
      </c>
      <c r="F940" s="54" t="str">
        <f t="shared" si="42"/>
        <v/>
      </c>
      <c r="G940" s="54" t="str">
        <f t="shared" si="43"/>
        <v/>
      </c>
      <c r="H940" s="54" t="str">
        <f t="shared" si="44"/>
        <v/>
      </c>
    </row>
    <row r="941" spans="5:8" x14ac:dyDescent="0.25">
      <c r="E941" s="54" t="str">
        <f>IF(A941="","",SUMIF('Daftar Transaksi'!D:D,A941,'Daftar Transaksi'!F:F))</f>
        <v/>
      </c>
      <c r="F941" s="54" t="str">
        <f t="shared" si="42"/>
        <v/>
      </c>
      <c r="G941" s="54" t="str">
        <f t="shared" si="43"/>
        <v/>
      </c>
      <c r="H941" s="54" t="str">
        <f t="shared" si="44"/>
        <v/>
      </c>
    </row>
    <row r="942" spans="5:8" x14ac:dyDescent="0.25">
      <c r="E942" s="54" t="str">
        <f>IF(A942="","",SUMIF('Daftar Transaksi'!D:D,A942,'Daftar Transaksi'!F:F))</f>
        <v/>
      </c>
      <c r="F942" s="54" t="str">
        <f t="shared" si="42"/>
        <v/>
      </c>
      <c r="G942" s="54" t="str">
        <f t="shared" si="43"/>
        <v/>
      </c>
      <c r="H942" s="54" t="str">
        <f t="shared" si="44"/>
        <v/>
      </c>
    </row>
    <row r="943" spans="5:8" x14ac:dyDescent="0.25">
      <c r="E943" s="54" t="str">
        <f>IF(A943="","",SUMIF('Daftar Transaksi'!D:D,A943,'Daftar Transaksi'!F:F))</f>
        <v/>
      </c>
      <c r="F943" s="54" t="str">
        <f t="shared" si="42"/>
        <v/>
      </c>
      <c r="G943" s="54" t="str">
        <f t="shared" si="43"/>
        <v/>
      </c>
      <c r="H943" s="54" t="str">
        <f t="shared" si="44"/>
        <v/>
      </c>
    </row>
    <row r="944" spans="5:8" x14ac:dyDescent="0.25">
      <c r="E944" s="54" t="str">
        <f>IF(A944="","",SUMIF('Daftar Transaksi'!D:D,A944,'Daftar Transaksi'!F:F))</f>
        <v/>
      </c>
      <c r="F944" s="54" t="str">
        <f t="shared" si="42"/>
        <v/>
      </c>
      <c r="G944" s="54" t="str">
        <f t="shared" si="43"/>
        <v/>
      </c>
      <c r="H944" s="54" t="str">
        <f t="shared" si="44"/>
        <v/>
      </c>
    </row>
    <row r="945" spans="5:8" x14ac:dyDescent="0.25">
      <c r="E945" s="54" t="str">
        <f>IF(A945="","",SUMIF('Daftar Transaksi'!D:D,A945,'Daftar Transaksi'!F:F))</f>
        <v/>
      </c>
      <c r="F945" s="54" t="str">
        <f t="shared" si="42"/>
        <v/>
      </c>
      <c r="G945" s="54" t="str">
        <f t="shared" si="43"/>
        <v/>
      </c>
      <c r="H945" s="54" t="str">
        <f t="shared" si="44"/>
        <v/>
      </c>
    </row>
    <row r="946" spans="5:8" x14ac:dyDescent="0.25">
      <c r="E946" s="54" t="str">
        <f>IF(A946="","",SUMIF('Daftar Transaksi'!D:D,A946,'Daftar Transaksi'!F:F))</f>
        <v/>
      </c>
      <c r="F946" s="54" t="str">
        <f t="shared" si="42"/>
        <v/>
      </c>
      <c r="G946" s="54" t="str">
        <f t="shared" si="43"/>
        <v/>
      </c>
      <c r="H946" s="54" t="str">
        <f t="shared" si="44"/>
        <v/>
      </c>
    </row>
    <row r="947" spans="5:8" x14ac:dyDescent="0.25">
      <c r="E947" s="54" t="str">
        <f>IF(A947="","",SUMIF('Daftar Transaksi'!D:D,A947,'Daftar Transaksi'!F:F))</f>
        <v/>
      </c>
      <c r="F947" s="54" t="str">
        <f t="shared" si="42"/>
        <v/>
      </c>
      <c r="G947" s="54" t="str">
        <f t="shared" si="43"/>
        <v/>
      </c>
      <c r="H947" s="54" t="str">
        <f t="shared" si="44"/>
        <v/>
      </c>
    </row>
    <row r="948" spans="5:8" x14ac:dyDescent="0.25">
      <c r="E948" s="54" t="str">
        <f>IF(A948="","",SUMIF('Daftar Transaksi'!D:D,A948,'Daftar Transaksi'!F:F))</f>
        <v/>
      </c>
      <c r="F948" s="54" t="str">
        <f t="shared" si="42"/>
        <v/>
      </c>
      <c r="G948" s="54" t="str">
        <f t="shared" si="43"/>
        <v/>
      </c>
      <c r="H948" s="54" t="str">
        <f t="shared" si="44"/>
        <v/>
      </c>
    </row>
    <row r="949" spans="5:8" x14ac:dyDescent="0.25">
      <c r="E949" s="54" t="str">
        <f>IF(A949="","",SUMIF('Daftar Transaksi'!D:D,A949,'Daftar Transaksi'!F:F))</f>
        <v/>
      </c>
      <c r="F949" s="54" t="str">
        <f t="shared" si="42"/>
        <v/>
      </c>
      <c r="G949" s="54" t="str">
        <f t="shared" si="43"/>
        <v/>
      </c>
      <c r="H949" s="54" t="str">
        <f t="shared" si="44"/>
        <v/>
      </c>
    </row>
    <row r="950" spans="5:8" x14ac:dyDescent="0.25">
      <c r="E950" s="54" t="str">
        <f>IF(A950="","",SUMIF('Daftar Transaksi'!D:D,A950,'Daftar Transaksi'!F:F))</f>
        <v/>
      </c>
      <c r="F950" s="54" t="str">
        <f t="shared" si="42"/>
        <v/>
      </c>
      <c r="G950" s="54" t="str">
        <f t="shared" si="43"/>
        <v/>
      </c>
      <c r="H950" s="54" t="str">
        <f t="shared" si="44"/>
        <v/>
      </c>
    </row>
    <row r="951" spans="5:8" x14ac:dyDescent="0.25">
      <c r="E951" s="54" t="str">
        <f>IF(A951="","",SUMIF('Daftar Transaksi'!D:D,A951,'Daftar Transaksi'!F:F))</f>
        <v/>
      </c>
      <c r="F951" s="54" t="str">
        <f t="shared" si="42"/>
        <v/>
      </c>
      <c r="G951" s="54" t="str">
        <f t="shared" si="43"/>
        <v/>
      </c>
      <c r="H951" s="54" t="str">
        <f t="shared" si="44"/>
        <v/>
      </c>
    </row>
    <row r="952" spans="5:8" x14ac:dyDescent="0.25">
      <c r="E952" s="54" t="str">
        <f>IF(A952="","",SUMIF('Daftar Transaksi'!D:D,A952,'Daftar Transaksi'!F:F))</f>
        <v/>
      </c>
      <c r="F952" s="54" t="str">
        <f t="shared" si="42"/>
        <v/>
      </c>
      <c r="G952" s="54" t="str">
        <f t="shared" si="43"/>
        <v/>
      </c>
      <c r="H952" s="54" t="str">
        <f t="shared" si="44"/>
        <v/>
      </c>
    </row>
    <row r="953" spans="5:8" x14ac:dyDescent="0.25">
      <c r="E953" s="54" t="str">
        <f>IF(A953="","",SUMIF('Daftar Transaksi'!D:D,A953,'Daftar Transaksi'!F:F))</f>
        <v/>
      </c>
      <c r="F953" s="54" t="str">
        <f t="shared" si="42"/>
        <v/>
      </c>
      <c r="G953" s="54" t="str">
        <f t="shared" si="43"/>
        <v/>
      </c>
      <c r="H953" s="54" t="str">
        <f t="shared" si="44"/>
        <v/>
      </c>
    </row>
    <row r="954" spans="5:8" x14ac:dyDescent="0.25">
      <c r="E954" s="54" t="str">
        <f>IF(A954="","",SUMIF('Daftar Transaksi'!D:D,A954,'Daftar Transaksi'!F:F))</f>
        <v/>
      </c>
      <c r="F954" s="54" t="str">
        <f t="shared" si="42"/>
        <v/>
      </c>
      <c r="G954" s="54" t="str">
        <f t="shared" si="43"/>
        <v/>
      </c>
      <c r="H954" s="54" t="str">
        <f t="shared" si="44"/>
        <v/>
      </c>
    </row>
    <row r="955" spans="5:8" x14ac:dyDescent="0.25">
      <c r="E955" s="54" t="str">
        <f>IF(A955="","",SUMIF('Daftar Transaksi'!D:D,A955,'Daftar Transaksi'!F:F))</f>
        <v/>
      </c>
      <c r="F955" s="54" t="str">
        <f t="shared" si="42"/>
        <v/>
      </c>
      <c r="G955" s="54" t="str">
        <f t="shared" si="43"/>
        <v/>
      </c>
      <c r="H955" s="54" t="str">
        <f t="shared" si="44"/>
        <v/>
      </c>
    </row>
    <row r="956" spans="5:8" x14ac:dyDescent="0.25">
      <c r="E956" s="54" t="str">
        <f>IF(A956="","",SUMIF('Daftar Transaksi'!D:D,A956,'Daftar Transaksi'!F:F))</f>
        <v/>
      </c>
      <c r="F956" s="54" t="str">
        <f t="shared" si="42"/>
        <v/>
      </c>
      <c r="G956" s="54" t="str">
        <f t="shared" si="43"/>
        <v/>
      </c>
      <c r="H956" s="54" t="str">
        <f t="shared" si="44"/>
        <v/>
      </c>
    </row>
    <row r="957" spans="5:8" x14ac:dyDescent="0.25">
      <c r="E957" s="54" t="str">
        <f>IF(A957="","",SUMIF('Daftar Transaksi'!D:D,A957,'Daftar Transaksi'!F:F))</f>
        <v/>
      </c>
      <c r="F957" s="54" t="str">
        <f t="shared" si="42"/>
        <v/>
      </c>
      <c r="G957" s="54" t="str">
        <f t="shared" si="43"/>
        <v/>
      </c>
      <c r="H957" s="54" t="str">
        <f t="shared" si="44"/>
        <v/>
      </c>
    </row>
    <row r="958" spans="5:8" x14ac:dyDescent="0.25">
      <c r="E958" s="54" t="str">
        <f>IF(A958="","",SUMIF('Daftar Transaksi'!D:D,A958,'Daftar Transaksi'!F:F))</f>
        <v/>
      </c>
      <c r="F958" s="54" t="str">
        <f t="shared" si="42"/>
        <v/>
      </c>
      <c r="G958" s="54" t="str">
        <f t="shared" si="43"/>
        <v/>
      </c>
      <c r="H958" s="54" t="str">
        <f t="shared" si="44"/>
        <v/>
      </c>
    </row>
    <row r="959" spans="5:8" x14ac:dyDescent="0.25">
      <c r="E959" s="54" t="str">
        <f>IF(A959="","",SUMIF('Daftar Transaksi'!D:D,A959,'Daftar Transaksi'!F:F))</f>
        <v/>
      </c>
      <c r="F959" s="54" t="str">
        <f t="shared" ref="F959:F1022" si="45">IF(A959="","",D959-E959)</f>
        <v/>
      </c>
      <c r="G959" s="54" t="str">
        <f t="shared" ref="G959:G1022" si="46">IF(A959="","",C959*E959)</f>
        <v/>
      </c>
      <c r="H959" s="54" t="str">
        <f t="shared" ref="H959:H1022" si="47">IF(A959="","",G959-(B959*E959))</f>
        <v/>
      </c>
    </row>
    <row r="960" spans="5:8" x14ac:dyDescent="0.25">
      <c r="E960" s="54" t="str">
        <f>IF(A960="","",SUMIF('Daftar Transaksi'!D:D,A960,'Daftar Transaksi'!F:F))</f>
        <v/>
      </c>
      <c r="F960" s="54" t="str">
        <f t="shared" si="45"/>
        <v/>
      </c>
      <c r="G960" s="54" t="str">
        <f t="shared" si="46"/>
        <v/>
      </c>
      <c r="H960" s="54" t="str">
        <f t="shared" si="47"/>
        <v/>
      </c>
    </row>
    <row r="961" spans="5:8" x14ac:dyDescent="0.25">
      <c r="E961" s="54" t="str">
        <f>IF(A961="","",SUMIF('Daftar Transaksi'!D:D,A961,'Daftar Transaksi'!F:F))</f>
        <v/>
      </c>
      <c r="F961" s="54" t="str">
        <f t="shared" si="45"/>
        <v/>
      </c>
      <c r="G961" s="54" t="str">
        <f t="shared" si="46"/>
        <v/>
      </c>
      <c r="H961" s="54" t="str">
        <f t="shared" si="47"/>
        <v/>
      </c>
    </row>
    <row r="962" spans="5:8" x14ac:dyDescent="0.25">
      <c r="E962" s="54" t="str">
        <f>IF(A962="","",SUMIF('Daftar Transaksi'!D:D,A962,'Daftar Transaksi'!F:F))</f>
        <v/>
      </c>
      <c r="F962" s="54" t="str">
        <f t="shared" si="45"/>
        <v/>
      </c>
      <c r="G962" s="54" t="str">
        <f t="shared" si="46"/>
        <v/>
      </c>
      <c r="H962" s="54" t="str">
        <f t="shared" si="47"/>
        <v/>
      </c>
    </row>
    <row r="963" spans="5:8" x14ac:dyDescent="0.25">
      <c r="E963" s="54" t="str">
        <f>IF(A963="","",SUMIF('Daftar Transaksi'!D:D,A963,'Daftar Transaksi'!F:F))</f>
        <v/>
      </c>
      <c r="F963" s="54" t="str">
        <f t="shared" si="45"/>
        <v/>
      </c>
      <c r="G963" s="54" t="str">
        <f t="shared" si="46"/>
        <v/>
      </c>
      <c r="H963" s="54" t="str">
        <f t="shared" si="47"/>
        <v/>
      </c>
    </row>
    <row r="964" spans="5:8" x14ac:dyDescent="0.25">
      <c r="E964" s="54" t="str">
        <f>IF(A964="","",SUMIF('Daftar Transaksi'!D:D,A964,'Daftar Transaksi'!F:F))</f>
        <v/>
      </c>
      <c r="F964" s="54" t="str">
        <f t="shared" si="45"/>
        <v/>
      </c>
      <c r="G964" s="54" t="str">
        <f t="shared" si="46"/>
        <v/>
      </c>
      <c r="H964" s="54" t="str">
        <f t="shared" si="47"/>
        <v/>
      </c>
    </row>
    <row r="965" spans="5:8" x14ac:dyDescent="0.25">
      <c r="E965" s="54" t="str">
        <f>IF(A965="","",SUMIF('Daftar Transaksi'!D:D,A965,'Daftar Transaksi'!F:F))</f>
        <v/>
      </c>
      <c r="F965" s="54" t="str">
        <f t="shared" si="45"/>
        <v/>
      </c>
      <c r="G965" s="54" t="str">
        <f t="shared" si="46"/>
        <v/>
      </c>
      <c r="H965" s="54" t="str">
        <f t="shared" si="47"/>
        <v/>
      </c>
    </row>
    <row r="966" spans="5:8" x14ac:dyDescent="0.25">
      <c r="E966" s="54" t="str">
        <f>IF(A966="","",SUMIF('Daftar Transaksi'!D:D,A966,'Daftar Transaksi'!F:F))</f>
        <v/>
      </c>
      <c r="F966" s="54" t="str">
        <f t="shared" si="45"/>
        <v/>
      </c>
      <c r="G966" s="54" t="str">
        <f t="shared" si="46"/>
        <v/>
      </c>
      <c r="H966" s="54" t="str">
        <f t="shared" si="47"/>
        <v/>
      </c>
    </row>
    <row r="967" spans="5:8" x14ac:dyDescent="0.25">
      <c r="E967" s="54" t="str">
        <f>IF(A967="","",SUMIF('Daftar Transaksi'!D:D,A967,'Daftar Transaksi'!F:F))</f>
        <v/>
      </c>
      <c r="F967" s="54" t="str">
        <f t="shared" si="45"/>
        <v/>
      </c>
      <c r="G967" s="54" t="str">
        <f t="shared" si="46"/>
        <v/>
      </c>
      <c r="H967" s="54" t="str">
        <f t="shared" si="47"/>
        <v/>
      </c>
    </row>
    <row r="968" spans="5:8" x14ac:dyDescent="0.25">
      <c r="E968" s="54" t="str">
        <f>IF(A968="","",SUMIF('Daftar Transaksi'!D:D,A968,'Daftar Transaksi'!F:F))</f>
        <v/>
      </c>
      <c r="F968" s="54" t="str">
        <f t="shared" si="45"/>
        <v/>
      </c>
      <c r="G968" s="54" t="str">
        <f t="shared" si="46"/>
        <v/>
      </c>
      <c r="H968" s="54" t="str">
        <f t="shared" si="47"/>
        <v/>
      </c>
    </row>
    <row r="969" spans="5:8" x14ac:dyDescent="0.25">
      <c r="E969" s="54" t="str">
        <f>IF(A969="","",SUMIF('Daftar Transaksi'!D:D,A969,'Daftar Transaksi'!F:F))</f>
        <v/>
      </c>
      <c r="F969" s="54" t="str">
        <f t="shared" si="45"/>
        <v/>
      </c>
      <c r="G969" s="54" t="str">
        <f t="shared" si="46"/>
        <v/>
      </c>
      <c r="H969" s="54" t="str">
        <f t="shared" si="47"/>
        <v/>
      </c>
    </row>
    <row r="970" spans="5:8" x14ac:dyDescent="0.25">
      <c r="E970" s="54" t="str">
        <f>IF(A970="","",SUMIF('Daftar Transaksi'!D:D,A970,'Daftar Transaksi'!F:F))</f>
        <v/>
      </c>
      <c r="F970" s="54" t="str">
        <f t="shared" si="45"/>
        <v/>
      </c>
      <c r="G970" s="54" t="str">
        <f t="shared" si="46"/>
        <v/>
      </c>
      <c r="H970" s="54" t="str">
        <f t="shared" si="47"/>
        <v/>
      </c>
    </row>
    <row r="971" spans="5:8" x14ac:dyDescent="0.25">
      <c r="E971" s="54" t="str">
        <f>IF(A971="","",SUMIF('Daftar Transaksi'!D:D,A971,'Daftar Transaksi'!F:F))</f>
        <v/>
      </c>
      <c r="F971" s="54" t="str">
        <f t="shared" si="45"/>
        <v/>
      </c>
      <c r="G971" s="54" t="str">
        <f t="shared" si="46"/>
        <v/>
      </c>
      <c r="H971" s="54" t="str">
        <f t="shared" si="47"/>
        <v/>
      </c>
    </row>
    <row r="972" spans="5:8" x14ac:dyDescent="0.25">
      <c r="E972" s="54" t="str">
        <f>IF(A972="","",SUMIF('Daftar Transaksi'!D:D,A972,'Daftar Transaksi'!F:F))</f>
        <v/>
      </c>
      <c r="F972" s="54" t="str">
        <f t="shared" si="45"/>
        <v/>
      </c>
      <c r="G972" s="54" t="str">
        <f t="shared" si="46"/>
        <v/>
      </c>
      <c r="H972" s="54" t="str">
        <f t="shared" si="47"/>
        <v/>
      </c>
    </row>
    <row r="973" spans="5:8" x14ac:dyDescent="0.25">
      <c r="E973" s="54" t="str">
        <f>IF(A973="","",SUMIF('Daftar Transaksi'!D:D,A973,'Daftar Transaksi'!F:F))</f>
        <v/>
      </c>
      <c r="F973" s="54" t="str">
        <f t="shared" si="45"/>
        <v/>
      </c>
      <c r="G973" s="54" t="str">
        <f t="shared" si="46"/>
        <v/>
      </c>
      <c r="H973" s="54" t="str">
        <f t="shared" si="47"/>
        <v/>
      </c>
    </row>
    <row r="974" spans="5:8" x14ac:dyDescent="0.25">
      <c r="E974" s="54" t="str">
        <f>IF(A974="","",SUMIF('Daftar Transaksi'!D:D,A974,'Daftar Transaksi'!F:F))</f>
        <v/>
      </c>
      <c r="F974" s="54" t="str">
        <f t="shared" si="45"/>
        <v/>
      </c>
      <c r="G974" s="54" t="str">
        <f t="shared" si="46"/>
        <v/>
      </c>
      <c r="H974" s="54" t="str">
        <f t="shared" si="47"/>
        <v/>
      </c>
    </row>
    <row r="975" spans="5:8" x14ac:dyDescent="0.25">
      <c r="E975" s="54" t="str">
        <f>IF(A975="","",SUMIF('Daftar Transaksi'!D:D,A975,'Daftar Transaksi'!F:F))</f>
        <v/>
      </c>
      <c r="F975" s="54" t="str">
        <f t="shared" si="45"/>
        <v/>
      </c>
      <c r="G975" s="54" t="str">
        <f t="shared" si="46"/>
        <v/>
      </c>
      <c r="H975" s="54" t="str">
        <f t="shared" si="47"/>
        <v/>
      </c>
    </row>
    <row r="976" spans="5:8" x14ac:dyDescent="0.25">
      <c r="E976" s="54" t="str">
        <f>IF(A976="","",SUMIF('Daftar Transaksi'!D:D,A976,'Daftar Transaksi'!F:F))</f>
        <v/>
      </c>
      <c r="F976" s="54" t="str">
        <f t="shared" si="45"/>
        <v/>
      </c>
      <c r="G976" s="54" t="str">
        <f t="shared" si="46"/>
        <v/>
      </c>
      <c r="H976" s="54" t="str">
        <f t="shared" si="47"/>
        <v/>
      </c>
    </row>
    <row r="977" spans="5:8" x14ac:dyDescent="0.25">
      <c r="E977" s="54" t="str">
        <f>IF(A977="","",SUMIF('Daftar Transaksi'!D:D,A977,'Daftar Transaksi'!F:F))</f>
        <v/>
      </c>
      <c r="F977" s="54" t="str">
        <f t="shared" si="45"/>
        <v/>
      </c>
      <c r="G977" s="54" t="str">
        <f t="shared" si="46"/>
        <v/>
      </c>
      <c r="H977" s="54" t="str">
        <f t="shared" si="47"/>
        <v/>
      </c>
    </row>
    <row r="978" spans="5:8" x14ac:dyDescent="0.25">
      <c r="E978" s="54" t="str">
        <f>IF(A978="","",SUMIF('Daftar Transaksi'!D:D,A978,'Daftar Transaksi'!F:F))</f>
        <v/>
      </c>
      <c r="F978" s="54" t="str">
        <f t="shared" si="45"/>
        <v/>
      </c>
      <c r="G978" s="54" t="str">
        <f t="shared" si="46"/>
        <v/>
      </c>
      <c r="H978" s="54" t="str">
        <f t="shared" si="47"/>
        <v/>
      </c>
    </row>
    <row r="979" spans="5:8" x14ac:dyDescent="0.25">
      <c r="E979" s="54" t="str">
        <f>IF(A979="","",SUMIF('Daftar Transaksi'!D:D,A979,'Daftar Transaksi'!F:F))</f>
        <v/>
      </c>
      <c r="F979" s="54" t="str">
        <f t="shared" si="45"/>
        <v/>
      </c>
      <c r="G979" s="54" t="str">
        <f t="shared" si="46"/>
        <v/>
      </c>
      <c r="H979" s="54" t="str">
        <f t="shared" si="47"/>
        <v/>
      </c>
    </row>
    <row r="980" spans="5:8" x14ac:dyDescent="0.25">
      <c r="E980" s="54" t="str">
        <f>IF(A980="","",SUMIF('Daftar Transaksi'!D:D,A980,'Daftar Transaksi'!F:F))</f>
        <v/>
      </c>
      <c r="F980" s="54" t="str">
        <f t="shared" si="45"/>
        <v/>
      </c>
      <c r="G980" s="54" t="str">
        <f t="shared" si="46"/>
        <v/>
      </c>
      <c r="H980" s="54" t="str">
        <f t="shared" si="47"/>
        <v/>
      </c>
    </row>
    <row r="981" spans="5:8" x14ac:dyDescent="0.25">
      <c r="E981" s="54" t="str">
        <f>IF(A981="","",SUMIF('Daftar Transaksi'!D:D,A981,'Daftar Transaksi'!F:F))</f>
        <v/>
      </c>
      <c r="F981" s="54" t="str">
        <f t="shared" si="45"/>
        <v/>
      </c>
      <c r="G981" s="54" t="str">
        <f t="shared" si="46"/>
        <v/>
      </c>
      <c r="H981" s="54" t="str">
        <f t="shared" si="47"/>
        <v/>
      </c>
    </row>
    <row r="982" spans="5:8" x14ac:dyDescent="0.25">
      <c r="E982" s="54" t="str">
        <f>IF(A982="","",SUMIF('Daftar Transaksi'!D:D,A982,'Daftar Transaksi'!F:F))</f>
        <v/>
      </c>
      <c r="F982" s="54" t="str">
        <f t="shared" si="45"/>
        <v/>
      </c>
      <c r="G982" s="54" t="str">
        <f t="shared" si="46"/>
        <v/>
      </c>
      <c r="H982" s="54" t="str">
        <f t="shared" si="47"/>
        <v/>
      </c>
    </row>
    <row r="983" spans="5:8" x14ac:dyDescent="0.25">
      <c r="E983" s="54" t="str">
        <f>IF(A983="","",SUMIF('Daftar Transaksi'!D:D,A983,'Daftar Transaksi'!F:F))</f>
        <v/>
      </c>
      <c r="F983" s="54" t="str">
        <f t="shared" si="45"/>
        <v/>
      </c>
      <c r="G983" s="54" t="str">
        <f t="shared" si="46"/>
        <v/>
      </c>
      <c r="H983" s="54" t="str">
        <f t="shared" si="47"/>
        <v/>
      </c>
    </row>
    <row r="984" spans="5:8" x14ac:dyDescent="0.25">
      <c r="E984" s="54" t="str">
        <f>IF(A984="","",SUMIF('Daftar Transaksi'!D:D,A984,'Daftar Transaksi'!F:F))</f>
        <v/>
      </c>
      <c r="F984" s="54" t="str">
        <f t="shared" si="45"/>
        <v/>
      </c>
      <c r="G984" s="54" t="str">
        <f t="shared" si="46"/>
        <v/>
      </c>
      <c r="H984" s="54" t="str">
        <f t="shared" si="47"/>
        <v/>
      </c>
    </row>
    <row r="985" spans="5:8" x14ac:dyDescent="0.25">
      <c r="E985" s="54" t="str">
        <f>IF(A985="","",SUMIF('Daftar Transaksi'!D:D,A985,'Daftar Transaksi'!F:F))</f>
        <v/>
      </c>
      <c r="F985" s="54" t="str">
        <f t="shared" si="45"/>
        <v/>
      </c>
      <c r="G985" s="54" t="str">
        <f t="shared" si="46"/>
        <v/>
      </c>
      <c r="H985" s="54" t="str">
        <f t="shared" si="47"/>
        <v/>
      </c>
    </row>
    <row r="986" spans="5:8" x14ac:dyDescent="0.25">
      <c r="E986" s="54" t="str">
        <f>IF(A986="","",SUMIF('Daftar Transaksi'!D:D,A986,'Daftar Transaksi'!F:F))</f>
        <v/>
      </c>
      <c r="F986" s="54" t="str">
        <f t="shared" si="45"/>
        <v/>
      </c>
      <c r="G986" s="54" t="str">
        <f t="shared" si="46"/>
        <v/>
      </c>
      <c r="H986" s="54" t="str">
        <f t="shared" si="47"/>
        <v/>
      </c>
    </row>
    <row r="987" spans="5:8" x14ac:dyDescent="0.25">
      <c r="E987" s="54" t="str">
        <f>IF(A987="","",SUMIF('Daftar Transaksi'!D:D,A987,'Daftar Transaksi'!F:F))</f>
        <v/>
      </c>
      <c r="F987" s="54" t="str">
        <f t="shared" si="45"/>
        <v/>
      </c>
      <c r="G987" s="54" t="str">
        <f t="shared" si="46"/>
        <v/>
      </c>
      <c r="H987" s="54" t="str">
        <f t="shared" si="47"/>
        <v/>
      </c>
    </row>
    <row r="988" spans="5:8" x14ac:dyDescent="0.25">
      <c r="E988" s="54" t="str">
        <f>IF(A988="","",SUMIF('Daftar Transaksi'!D:D,A988,'Daftar Transaksi'!F:F))</f>
        <v/>
      </c>
      <c r="F988" s="54" t="str">
        <f t="shared" si="45"/>
        <v/>
      </c>
      <c r="G988" s="54" t="str">
        <f t="shared" si="46"/>
        <v/>
      </c>
      <c r="H988" s="54" t="str">
        <f t="shared" si="47"/>
        <v/>
      </c>
    </row>
    <row r="989" spans="5:8" x14ac:dyDescent="0.25">
      <c r="E989" s="54" t="str">
        <f>IF(A989="","",SUMIF('Daftar Transaksi'!D:D,A989,'Daftar Transaksi'!F:F))</f>
        <v/>
      </c>
      <c r="F989" s="54" t="str">
        <f t="shared" si="45"/>
        <v/>
      </c>
      <c r="G989" s="54" t="str">
        <f t="shared" si="46"/>
        <v/>
      </c>
      <c r="H989" s="54" t="str">
        <f t="shared" si="47"/>
        <v/>
      </c>
    </row>
    <row r="990" spans="5:8" x14ac:dyDescent="0.25">
      <c r="E990" s="54" t="str">
        <f>IF(A990="","",SUMIF('Daftar Transaksi'!D:D,A990,'Daftar Transaksi'!F:F))</f>
        <v/>
      </c>
      <c r="F990" s="54" t="str">
        <f t="shared" si="45"/>
        <v/>
      </c>
      <c r="G990" s="54" t="str">
        <f t="shared" si="46"/>
        <v/>
      </c>
      <c r="H990" s="54" t="str">
        <f t="shared" si="47"/>
        <v/>
      </c>
    </row>
    <row r="991" spans="5:8" x14ac:dyDescent="0.25">
      <c r="E991" s="54" t="str">
        <f>IF(A991="","",SUMIF('Daftar Transaksi'!D:D,A991,'Daftar Transaksi'!F:F))</f>
        <v/>
      </c>
      <c r="F991" s="54" t="str">
        <f t="shared" si="45"/>
        <v/>
      </c>
      <c r="G991" s="54" t="str">
        <f t="shared" si="46"/>
        <v/>
      </c>
      <c r="H991" s="54" t="str">
        <f t="shared" si="47"/>
        <v/>
      </c>
    </row>
    <row r="992" spans="5:8" x14ac:dyDescent="0.25">
      <c r="E992" s="54" t="str">
        <f>IF(A992="","",SUMIF('Daftar Transaksi'!D:D,A992,'Daftar Transaksi'!F:F))</f>
        <v/>
      </c>
      <c r="F992" s="54" t="str">
        <f t="shared" si="45"/>
        <v/>
      </c>
      <c r="G992" s="54" t="str">
        <f t="shared" si="46"/>
        <v/>
      </c>
      <c r="H992" s="54" t="str">
        <f t="shared" si="47"/>
        <v/>
      </c>
    </row>
    <row r="993" spans="5:8" x14ac:dyDescent="0.25">
      <c r="E993" s="54" t="str">
        <f>IF(A993="","",SUMIF('Daftar Transaksi'!D:D,A993,'Daftar Transaksi'!F:F))</f>
        <v/>
      </c>
      <c r="F993" s="54" t="str">
        <f t="shared" si="45"/>
        <v/>
      </c>
      <c r="G993" s="54" t="str">
        <f t="shared" si="46"/>
        <v/>
      </c>
      <c r="H993" s="54" t="str">
        <f t="shared" si="47"/>
        <v/>
      </c>
    </row>
    <row r="994" spans="5:8" x14ac:dyDescent="0.25">
      <c r="E994" s="54" t="str">
        <f>IF(A994="","",SUMIF('Daftar Transaksi'!D:D,A994,'Daftar Transaksi'!F:F))</f>
        <v/>
      </c>
      <c r="F994" s="54" t="str">
        <f t="shared" si="45"/>
        <v/>
      </c>
      <c r="G994" s="54" t="str">
        <f t="shared" si="46"/>
        <v/>
      </c>
      <c r="H994" s="54" t="str">
        <f t="shared" si="47"/>
        <v/>
      </c>
    </row>
    <row r="995" spans="5:8" x14ac:dyDescent="0.25">
      <c r="E995" s="54" t="str">
        <f>IF(A995="","",SUMIF('Daftar Transaksi'!D:D,A995,'Daftar Transaksi'!F:F))</f>
        <v/>
      </c>
      <c r="F995" s="54" t="str">
        <f t="shared" si="45"/>
        <v/>
      </c>
      <c r="G995" s="54" t="str">
        <f t="shared" si="46"/>
        <v/>
      </c>
      <c r="H995" s="54" t="str">
        <f t="shared" si="47"/>
        <v/>
      </c>
    </row>
    <row r="996" spans="5:8" x14ac:dyDescent="0.25">
      <c r="E996" s="54" t="str">
        <f>IF(A996="","",SUMIF('Daftar Transaksi'!D:D,A996,'Daftar Transaksi'!F:F))</f>
        <v/>
      </c>
      <c r="F996" s="54" t="str">
        <f t="shared" si="45"/>
        <v/>
      </c>
      <c r="G996" s="54" t="str">
        <f t="shared" si="46"/>
        <v/>
      </c>
      <c r="H996" s="54" t="str">
        <f t="shared" si="47"/>
        <v/>
      </c>
    </row>
    <row r="997" spans="5:8" x14ac:dyDescent="0.25">
      <c r="E997" s="54" t="str">
        <f>IF(A997="","",SUMIF('Daftar Transaksi'!D:D,A997,'Daftar Transaksi'!F:F))</f>
        <v/>
      </c>
      <c r="F997" s="54" t="str">
        <f t="shared" si="45"/>
        <v/>
      </c>
      <c r="G997" s="54" t="str">
        <f t="shared" si="46"/>
        <v/>
      </c>
      <c r="H997" s="54" t="str">
        <f t="shared" si="47"/>
        <v/>
      </c>
    </row>
    <row r="998" spans="5:8" x14ac:dyDescent="0.25">
      <c r="E998" s="54" t="str">
        <f>IF(A998="","",SUMIF('Daftar Transaksi'!D:D,A998,'Daftar Transaksi'!F:F))</f>
        <v/>
      </c>
      <c r="F998" s="54" t="str">
        <f t="shared" si="45"/>
        <v/>
      </c>
      <c r="G998" s="54" t="str">
        <f t="shared" si="46"/>
        <v/>
      </c>
      <c r="H998" s="54" t="str">
        <f t="shared" si="47"/>
        <v/>
      </c>
    </row>
    <row r="999" spans="5:8" x14ac:dyDescent="0.25">
      <c r="E999" s="54" t="str">
        <f>IF(A999="","",SUMIF('Daftar Transaksi'!D:D,A999,'Daftar Transaksi'!F:F))</f>
        <v/>
      </c>
      <c r="F999" s="54" t="str">
        <f t="shared" si="45"/>
        <v/>
      </c>
      <c r="G999" s="54" t="str">
        <f t="shared" si="46"/>
        <v/>
      </c>
      <c r="H999" s="54" t="str">
        <f t="shared" si="47"/>
        <v/>
      </c>
    </row>
    <row r="1000" spans="5:8" x14ac:dyDescent="0.25">
      <c r="E1000" s="54" t="str">
        <f>IF(A1000="","",SUMIF('Daftar Transaksi'!D:D,A1000,'Daftar Transaksi'!F:F))</f>
        <v/>
      </c>
      <c r="F1000" s="54" t="str">
        <f t="shared" si="45"/>
        <v/>
      </c>
      <c r="G1000" s="54" t="str">
        <f t="shared" si="46"/>
        <v/>
      </c>
      <c r="H1000" s="54" t="str">
        <f t="shared" si="47"/>
        <v/>
      </c>
    </row>
    <row r="1001" spans="5:8" x14ac:dyDescent="0.25">
      <c r="E1001" s="54" t="str">
        <f>IF(A1001="","",SUMIF('Daftar Transaksi'!D:D,A1001,'Daftar Transaksi'!F:F))</f>
        <v/>
      </c>
      <c r="F1001" s="54" t="str">
        <f t="shared" si="45"/>
        <v/>
      </c>
      <c r="G1001" s="54" t="str">
        <f t="shared" si="46"/>
        <v/>
      </c>
      <c r="H1001" s="54" t="str">
        <f t="shared" si="47"/>
        <v/>
      </c>
    </row>
    <row r="1002" spans="5:8" x14ac:dyDescent="0.25">
      <c r="E1002" s="54" t="str">
        <f>IF(A1002="","",SUMIF('Daftar Transaksi'!D:D,A1002,'Daftar Transaksi'!F:F))</f>
        <v/>
      </c>
      <c r="F1002" s="54" t="str">
        <f t="shared" si="45"/>
        <v/>
      </c>
      <c r="G1002" s="54" t="str">
        <f t="shared" si="46"/>
        <v/>
      </c>
      <c r="H1002" s="54" t="str">
        <f t="shared" si="47"/>
        <v/>
      </c>
    </row>
    <row r="1003" spans="5:8" x14ac:dyDescent="0.25">
      <c r="E1003" s="54" t="str">
        <f>IF(A1003="","",SUMIF('Daftar Transaksi'!D:D,A1003,'Daftar Transaksi'!F:F))</f>
        <v/>
      </c>
      <c r="F1003" s="54" t="str">
        <f t="shared" si="45"/>
        <v/>
      </c>
      <c r="G1003" s="54" t="str">
        <f t="shared" si="46"/>
        <v/>
      </c>
      <c r="H1003" s="54" t="str">
        <f t="shared" si="47"/>
        <v/>
      </c>
    </row>
    <row r="1004" spans="5:8" x14ac:dyDescent="0.25">
      <c r="E1004" s="54" t="str">
        <f>IF(A1004="","",SUMIF('Daftar Transaksi'!D:D,A1004,'Daftar Transaksi'!F:F))</f>
        <v/>
      </c>
      <c r="F1004" s="54" t="str">
        <f t="shared" si="45"/>
        <v/>
      </c>
      <c r="G1004" s="54" t="str">
        <f t="shared" si="46"/>
        <v/>
      </c>
      <c r="H1004" s="54" t="str">
        <f t="shared" si="47"/>
        <v/>
      </c>
    </row>
    <row r="1005" spans="5:8" x14ac:dyDescent="0.25">
      <c r="E1005" s="54" t="str">
        <f>IF(A1005="","",SUMIF('Daftar Transaksi'!D:D,A1005,'Daftar Transaksi'!F:F))</f>
        <v/>
      </c>
      <c r="F1005" s="54" t="str">
        <f t="shared" si="45"/>
        <v/>
      </c>
      <c r="G1005" s="54" t="str">
        <f t="shared" si="46"/>
        <v/>
      </c>
      <c r="H1005" s="54" t="str">
        <f t="shared" si="47"/>
        <v/>
      </c>
    </row>
    <row r="1006" spans="5:8" x14ac:dyDescent="0.25">
      <c r="E1006" s="54" t="str">
        <f>IF(A1006="","",SUMIF('Daftar Transaksi'!D:D,A1006,'Daftar Transaksi'!F:F))</f>
        <v/>
      </c>
      <c r="F1006" s="54" t="str">
        <f t="shared" si="45"/>
        <v/>
      </c>
      <c r="G1006" s="54" t="str">
        <f t="shared" si="46"/>
        <v/>
      </c>
      <c r="H1006" s="54" t="str">
        <f t="shared" si="47"/>
        <v/>
      </c>
    </row>
    <row r="1007" spans="5:8" x14ac:dyDescent="0.25">
      <c r="E1007" s="54" t="str">
        <f>IF(A1007="","",SUMIF('Daftar Transaksi'!D:D,A1007,'Daftar Transaksi'!F:F))</f>
        <v/>
      </c>
      <c r="F1007" s="54" t="str">
        <f t="shared" si="45"/>
        <v/>
      </c>
      <c r="G1007" s="54" t="str">
        <f t="shared" si="46"/>
        <v/>
      </c>
      <c r="H1007" s="54" t="str">
        <f t="shared" si="47"/>
        <v/>
      </c>
    </row>
    <row r="1008" spans="5:8" x14ac:dyDescent="0.25">
      <c r="E1008" s="54" t="str">
        <f>IF(A1008="","",SUMIF('Daftar Transaksi'!D:D,A1008,'Daftar Transaksi'!F:F))</f>
        <v/>
      </c>
      <c r="F1008" s="54" t="str">
        <f t="shared" si="45"/>
        <v/>
      </c>
      <c r="G1008" s="54" t="str">
        <f t="shared" si="46"/>
        <v/>
      </c>
      <c r="H1008" s="54" t="str">
        <f t="shared" si="47"/>
        <v/>
      </c>
    </row>
    <row r="1009" spans="5:8" x14ac:dyDescent="0.25">
      <c r="E1009" s="54" t="str">
        <f>IF(A1009="","",SUMIF('Daftar Transaksi'!D:D,A1009,'Daftar Transaksi'!F:F))</f>
        <v/>
      </c>
      <c r="F1009" s="54" t="str">
        <f t="shared" si="45"/>
        <v/>
      </c>
      <c r="G1009" s="54" t="str">
        <f t="shared" si="46"/>
        <v/>
      </c>
      <c r="H1009" s="54" t="str">
        <f t="shared" si="47"/>
        <v/>
      </c>
    </row>
    <row r="1010" spans="5:8" x14ac:dyDescent="0.25">
      <c r="E1010" s="54" t="str">
        <f>IF(A1010="","",SUMIF('Daftar Transaksi'!D:D,A1010,'Daftar Transaksi'!F:F))</f>
        <v/>
      </c>
      <c r="F1010" s="54" t="str">
        <f t="shared" si="45"/>
        <v/>
      </c>
      <c r="G1010" s="54" t="str">
        <f t="shared" si="46"/>
        <v/>
      </c>
      <c r="H1010" s="54" t="str">
        <f t="shared" si="47"/>
        <v/>
      </c>
    </row>
    <row r="1011" spans="5:8" x14ac:dyDescent="0.25">
      <c r="E1011" s="54" t="str">
        <f>IF(A1011="","",SUMIF('Daftar Transaksi'!D:D,A1011,'Daftar Transaksi'!F:F))</f>
        <v/>
      </c>
      <c r="F1011" s="54" t="str">
        <f t="shared" si="45"/>
        <v/>
      </c>
      <c r="G1011" s="54" t="str">
        <f t="shared" si="46"/>
        <v/>
      </c>
      <c r="H1011" s="54" t="str">
        <f t="shared" si="47"/>
        <v/>
      </c>
    </row>
    <row r="1012" spans="5:8" x14ac:dyDescent="0.25">
      <c r="E1012" s="54" t="str">
        <f>IF(A1012="","",SUMIF('Daftar Transaksi'!D:D,A1012,'Daftar Transaksi'!F:F))</f>
        <v/>
      </c>
      <c r="F1012" s="54" t="str">
        <f t="shared" si="45"/>
        <v/>
      </c>
      <c r="G1012" s="54" t="str">
        <f t="shared" si="46"/>
        <v/>
      </c>
      <c r="H1012" s="54" t="str">
        <f t="shared" si="47"/>
        <v/>
      </c>
    </row>
    <row r="1013" spans="5:8" x14ac:dyDescent="0.25">
      <c r="E1013" s="54" t="str">
        <f>IF(A1013="","",SUMIF('Daftar Transaksi'!D:D,A1013,'Daftar Transaksi'!F:F))</f>
        <v/>
      </c>
      <c r="F1013" s="54" t="str">
        <f t="shared" si="45"/>
        <v/>
      </c>
      <c r="G1013" s="54" t="str">
        <f t="shared" si="46"/>
        <v/>
      </c>
      <c r="H1013" s="54" t="str">
        <f t="shared" si="47"/>
        <v/>
      </c>
    </row>
    <row r="1014" spans="5:8" x14ac:dyDescent="0.25">
      <c r="E1014" s="54" t="str">
        <f>IF(A1014="","",SUMIF('Daftar Transaksi'!D:D,A1014,'Daftar Transaksi'!F:F))</f>
        <v/>
      </c>
      <c r="F1014" s="54" t="str">
        <f t="shared" si="45"/>
        <v/>
      </c>
      <c r="G1014" s="54" t="str">
        <f t="shared" si="46"/>
        <v/>
      </c>
      <c r="H1014" s="54" t="str">
        <f t="shared" si="47"/>
        <v/>
      </c>
    </row>
    <row r="1015" spans="5:8" x14ac:dyDescent="0.25">
      <c r="E1015" s="54" t="str">
        <f>IF(A1015="","",SUMIF('Daftar Transaksi'!D:D,A1015,'Daftar Transaksi'!F:F))</f>
        <v/>
      </c>
      <c r="F1015" s="54" t="str">
        <f t="shared" si="45"/>
        <v/>
      </c>
      <c r="G1015" s="54" t="str">
        <f t="shared" si="46"/>
        <v/>
      </c>
      <c r="H1015" s="54" t="str">
        <f t="shared" si="47"/>
        <v/>
      </c>
    </row>
    <row r="1016" spans="5:8" x14ac:dyDescent="0.25">
      <c r="E1016" s="54" t="str">
        <f>IF(A1016="","",SUMIF('Daftar Transaksi'!D:D,A1016,'Daftar Transaksi'!F:F))</f>
        <v/>
      </c>
      <c r="F1016" s="54" t="str">
        <f t="shared" si="45"/>
        <v/>
      </c>
      <c r="G1016" s="54" t="str">
        <f t="shared" si="46"/>
        <v/>
      </c>
      <c r="H1016" s="54" t="str">
        <f t="shared" si="47"/>
        <v/>
      </c>
    </row>
    <row r="1017" spans="5:8" x14ac:dyDescent="0.25">
      <c r="E1017" s="54" t="str">
        <f>IF(A1017="","",SUMIF('Daftar Transaksi'!D:D,A1017,'Daftar Transaksi'!F:F))</f>
        <v/>
      </c>
      <c r="F1017" s="54" t="str">
        <f t="shared" si="45"/>
        <v/>
      </c>
      <c r="G1017" s="54" t="str">
        <f t="shared" si="46"/>
        <v/>
      </c>
      <c r="H1017" s="54" t="str">
        <f t="shared" si="47"/>
        <v/>
      </c>
    </row>
    <row r="1018" spans="5:8" x14ac:dyDescent="0.25">
      <c r="E1018" s="54" t="str">
        <f>IF(A1018="","",SUMIF('Daftar Transaksi'!D:D,A1018,'Daftar Transaksi'!F:F))</f>
        <v/>
      </c>
      <c r="F1018" s="54" t="str">
        <f t="shared" si="45"/>
        <v/>
      </c>
      <c r="G1018" s="54" t="str">
        <f t="shared" si="46"/>
        <v/>
      </c>
      <c r="H1018" s="54" t="str">
        <f t="shared" si="47"/>
        <v/>
      </c>
    </row>
    <row r="1019" spans="5:8" x14ac:dyDescent="0.25">
      <c r="E1019" s="54" t="str">
        <f>IF(A1019="","",SUMIF('Daftar Transaksi'!D:D,A1019,'Daftar Transaksi'!F:F))</f>
        <v/>
      </c>
      <c r="F1019" s="54" t="str">
        <f t="shared" si="45"/>
        <v/>
      </c>
      <c r="G1019" s="54" t="str">
        <f t="shared" si="46"/>
        <v/>
      </c>
      <c r="H1019" s="54" t="str">
        <f t="shared" si="47"/>
        <v/>
      </c>
    </row>
    <row r="1020" spans="5:8" x14ac:dyDescent="0.25">
      <c r="E1020" s="54" t="str">
        <f>IF(A1020="","",SUMIF('Daftar Transaksi'!D:D,A1020,'Daftar Transaksi'!F:F))</f>
        <v/>
      </c>
      <c r="F1020" s="54" t="str">
        <f t="shared" si="45"/>
        <v/>
      </c>
      <c r="G1020" s="54" t="str">
        <f t="shared" si="46"/>
        <v/>
      </c>
      <c r="H1020" s="54" t="str">
        <f t="shared" si="47"/>
        <v/>
      </c>
    </row>
    <row r="1021" spans="5:8" x14ac:dyDescent="0.25">
      <c r="E1021" s="54" t="str">
        <f>IF(A1021="","",SUMIF('Daftar Transaksi'!D:D,A1021,'Daftar Transaksi'!F:F))</f>
        <v/>
      </c>
      <c r="F1021" s="54" t="str">
        <f t="shared" si="45"/>
        <v/>
      </c>
      <c r="G1021" s="54" t="str">
        <f t="shared" si="46"/>
        <v/>
      </c>
      <c r="H1021" s="54" t="str">
        <f t="shared" si="47"/>
        <v/>
      </c>
    </row>
    <row r="1022" spans="5:8" x14ac:dyDescent="0.25">
      <c r="E1022" s="54" t="str">
        <f>IF(A1022="","",SUMIF('Daftar Transaksi'!D:D,A1022,'Daftar Transaksi'!F:F))</f>
        <v/>
      </c>
      <c r="F1022" s="54" t="str">
        <f t="shared" si="45"/>
        <v/>
      </c>
      <c r="G1022" s="54" t="str">
        <f t="shared" si="46"/>
        <v/>
      </c>
      <c r="H1022" s="54" t="str">
        <f t="shared" si="47"/>
        <v/>
      </c>
    </row>
    <row r="1023" spans="5:8" x14ac:dyDescent="0.25">
      <c r="E1023" s="54" t="str">
        <f>IF(A1023="","",SUMIF('Daftar Transaksi'!D:D,A1023,'Daftar Transaksi'!F:F))</f>
        <v/>
      </c>
      <c r="F1023" s="54" t="str">
        <f t="shared" ref="F1023:F1086" si="48">IF(A1023="","",D1023-E1023)</f>
        <v/>
      </c>
      <c r="G1023" s="54" t="str">
        <f t="shared" ref="G1023:G1086" si="49">IF(A1023="","",C1023*E1023)</f>
        <v/>
      </c>
      <c r="H1023" s="54" t="str">
        <f t="shared" ref="H1023:H1086" si="50">IF(A1023="","",G1023-(B1023*E1023))</f>
        <v/>
      </c>
    </row>
    <row r="1024" spans="5:8" x14ac:dyDescent="0.25">
      <c r="E1024" s="54" t="str">
        <f>IF(A1024="","",SUMIF('Daftar Transaksi'!D:D,A1024,'Daftar Transaksi'!F:F))</f>
        <v/>
      </c>
      <c r="F1024" s="54" t="str">
        <f t="shared" si="48"/>
        <v/>
      </c>
      <c r="G1024" s="54" t="str">
        <f t="shared" si="49"/>
        <v/>
      </c>
      <c r="H1024" s="54" t="str">
        <f t="shared" si="50"/>
        <v/>
      </c>
    </row>
    <row r="1025" spans="5:8" x14ac:dyDescent="0.25">
      <c r="E1025" s="54" t="str">
        <f>IF(A1025="","",SUMIF('Daftar Transaksi'!D:D,A1025,'Daftar Transaksi'!F:F))</f>
        <v/>
      </c>
      <c r="F1025" s="54" t="str">
        <f t="shared" si="48"/>
        <v/>
      </c>
      <c r="G1025" s="54" t="str">
        <f t="shared" si="49"/>
        <v/>
      </c>
      <c r="H1025" s="54" t="str">
        <f t="shared" si="50"/>
        <v/>
      </c>
    </row>
    <row r="1026" spans="5:8" x14ac:dyDescent="0.25">
      <c r="E1026" s="54" t="str">
        <f>IF(A1026="","",SUMIF('Daftar Transaksi'!D:D,A1026,'Daftar Transaksi'!F:F))</f>
        <v/>
      </c>
      <c r="F1026" s="54" t="str">
        <f t="shared" si="48"/>
        <v/>
      </c>
      <c r="G1026" s="54" t="str">
        <f t="shared" si="49"/>
        <v/>
      </c>
      <c r="H1026" s="54" t="str">
        <f t="shared" si="50"/>
        <v/>
      </c>
    </row>
    <row r="1027" spans="5:8" x14ac:dyDescent="0.25">
      <c r="E1027" s="54" t="str">
        <f>IF(A1027="","",SUMIF('Daftar Transaksi'!D:D,A1027,'Daftar Transaksi'!F:F))</f>
        <v/>
      </c>
      <c r="F1027" s="54" t="str">
        <f t="shared" si="48"/>
        <v/>
      </c>
      <c r="G1027" s="54" t="str">
        <f t="shared" si="49"/>
        <v/>
      </c>
      <c r="H1027" s="54" t="str">
        <f t="shared" si="50"/>
        <v/>
      </c>
    </row>
    <row r="1028" spans="5:8" x14ac:dyDescent="0.25">
      <c r="E1028" s="54" t="str">
        <f>IF(A1028="","",SUMIF('Daftar Transaksi'!D:D,A1028,'Daftar Transaksi'!F:F))</f>
        <v/>
      </c>
      <c r="F1028" s="54" t="str">
        <f t="shared" si="48"/>
        <v/>
      </c>
      <c r="G1028" s="54" t="str">
        <f t="shared" si="49"/>
        <v/>
      </c>
      <c r="H1028" s="54" t="str">
        <f t="shared" si="50"/>
        <v/>
      </c>
    </row>
    <row r="1029" spans="5:8" x14ac:dyDescent="0.25">
      <c r="E1029" s="54" t="str">
        <f>IF(A1029="","",SUMIF('Daftar Transaksi'!D:D,A1029,'Daftar Transaksi'!F:F))</f>
        <v/>
      </c>
      <c r="F1029" s="54" t="str">
        <f t="shared" si="48"/>
        <v/>
      </c>
      <c r="G1029" s="54" t="str">
        <f t="shared" si="49"/>
        <v/>
      </c>
      <c r="H1029" s="54" t="str">
        <f t="shared" si="50"/>
        <v/>
      </c>
    </row>
    <row r="1030" spans="5:8" x14ac:dyDescent="0.25">
      <c r="E1030" s="54" t="str">
        <f>IF(A1030="","",SUMIF('Daftar Transaksi'!D:D,A1030,'Daftar Transaksi'!F:F))</f>
        <v/>
      </c>
      <c r="F1030" s="54" t="str">
        <f t="shared" si="48"/>
        <v/>
      </c>
      <c r="G1030" s="54" t="str">
        <f t="shared" si="49"/>
        <v/>
      </c>
      <c r="H1030" s="54" t="str">
        <f t="shared" si="50"/>
        <v/>
      </c>
    </row>
    <row r="1031" spans="5:8" x14ac:dyDescent="0.25">
      <c r="E1031" s="54" t="str">
        <f>IF(A1031="","",SUMIF('Daftar Transaksi'!D:D,A1031,'Daftar Transaksi'!F:F))</f>
        <v/>
      </c>
      <c r="F1031" s="54" t="str">
        <f t="shared" si="48"/>
        <v/>
      </c>
      <c r="G1031" s="54" t="str">
        <f t="shared" si="49"/>
        <v/>
      </c>
      <c r="H1031" s="54" t="str">
        <f t="shared" si="50"/>
        <v/>
      </c>
    </row>
    <row r="1032" spans="5:8" x14ac:dyDescent="0.25">
      <c r="E1032" s="54" t="str">
        <f>IF(A1032="","",SUMIF('Daftar Transaksi'!D:D,A1032,'Daftar Transaksi'!F:F))</f>
        <v/>
      </c>
      <c r="F1032" s="54" t="str">
        <f t="shared" si="48"/>
        <v/>
      </c>
      <c r="G1032" s="54" t="str">
        <f t="shared" si="49"/>
        <v/>
      </c>
      <c r="H1032" s="54" t="str">
        <f t="shared" si="50"/>
        <v/>
      </c>
    </row>
    <row r="1033" spans="5:8" x14ac:dyDescent="0.25">
      <c r="E1033" s="54" t="str">
        <f>IF(A1033="","",SUMIF('Daftar Transaksi'!D:D,A1033,'Daftar Transaksi'!F:F))</f>
        <v/>
      </c>
      <c r="F1033" s="54" t="str">
        <f t="shared" si="48"/>
        <v/>
      </c>
      <c r="G1033" s="54" t="str">
        <f t="shared" si="49"/>
        <v/>
      </c>
      <c r="H1033" s="54" t="str">
        <f t="shared" si="50"/>
        <v/>
      </c>
    </row>
    <row r="1034" spans="5:8" x14ac:dyDescent="0.25">
      <c r="E1034" s="54" t="str">
        <f>IF(A1034="","",SUMIF('Daftar Transaksi'!D:D,A1034,'Daftar Transaksi'!F:F))</f>
        <v/>
      </c>
      <c r="F1034" s="54" t="str">
        <f t="shared" si="48"/>
        <v/>
      </c>
      <c r="G1034" s="54" t="str">
        <f t="shared" si="49"/>
        <v/>
      </c>
      <c r="H1034" s="54" t="str">
        <f t="shared" si="50"/>
        <v/>
      </c>
    </row>
    <row r="1035" spans="5:8" x14ac:dyDescent="0.25">
      <c r="E1035" s="54" t="str">
        <f>IF(A1035="","",SUMIF('Daftar Transaksi'!D:D,A1035,'Daftar Transaksi'!F:F))</f>
        <v/>
      </c>
      <c r="F1035" s="54" t="str">
        <f t="shared" si="48"/>
        <v/>
      </c>
      <c r="G1035" s="54" t="str">
        <f t="shared" si="49"/>
        <v/>
      </c>
      <c r="H1035" s="54" t="str">
        <f t="shared" si="50"/>
        <v/>
      </c>
    </row>
    <row r="1036" spans="5:8" x14ac:dyDescent="0.25">
      <c r="E1036" s="54" t="str">
        <f>IF(A1036="","",SUMIF('Daftar Transaksi'!D:D,A1036,'Daftar Transaksi'!F:F))</f>
        <v/>
      </c>
      <c r="F1036" s="54" t="str">
        <f t="shared" si="48"/>
        <v/>
      </c>
      <c r="G1036" s="54" t="str">
        <f t="shared" si="49"/>
        <v/>
      </c>
      <c r="H1036" s="54" t="str">
        <f t="shared" si="50"/>
        <v/>
      </c>
    </row>
    <row r="1037" spans="5:8" x14ac:dyDescent="0.25">
      <c r="E1037" s="54" t="str">
        <f>IF(A1037="","",SUMIF('Daftar Transaksi'!D:D,A1037,'Daftar Transaksi'!F:F))</f>
        <v/>
      </c>
      <c r="F1037" s="54" t="str">
        <f t="shared" si="48"/>
        <v/>
      </c>
      <c r="G1037" s="54" t="str">
        <f t="shared" si="49"/>
        <v/>
      </c>
      <c r="H1037" s="54" t="str">
        <f t="shared" si="50"/>
        <v/>
      </c>
    </row>
    <row r="1038" spans="5:8" x14ac:dyDescent="0.25">
      <c r="E1038" s="54" t="str">
        <f>IF(A1038="","",SUMIF('Daftar Transaksi'!D:D,A1038,'Daftar Transaksi'!F:F))</f>
        <v/>
      </c>
      <c r="F1038" s="54" t="str">
        <f t="shared" si="48"/>
        <v/>
      </c>
      <c r="G1038" s="54" t="str">
        <f t="shared" si="49"/>
        <v/>
      </c>
      <c r="H1038" s="54" t="str">
        <f t="shared" si="50"/>
        <v/>
      </c>
    </row>
    <row r="1039" spans="5:8" x14ac:dyDescent="0.25">
      <c r="E1039" s="54" t="str">
        <f>IF(A1039="","",SUMIF('Daftar Transaksi'!D:D,A1039,'Daftar Transaksi'!F:F))</f>
        <v/>
      </c>
      <c r="F1039" s="54" t="str">
        <f t="shared" si="48"/>
        <v/>
      </c>
      <c r="G1039" s="54" t="str">
        <f t="shared" si="49"/>
        <v/>
      </c>
      <c r="H1039" s="54" t="str">
        <f t="shared" si="50"/>
        <v/>
      </c>
    </row>
    <row r="1040" spans="5:8" x14ac:dyDescent="0.25">
      <c r="E1040" s="54" t="str">
        <f>IF(A1040="","",SUMIF('Daftar Transaksi'!D:D,A1040,'Daftar Transaksi'!F:F))</f>
        <v/>
      </c>
      <c r="F1040" s="54" t="str">
        <f t="shared" si="48"/>
        <v/>
      </c>
      <c r="G1040" s="54" t="str">
        <f t="shared" si="49"/>
        <v/>
      </c>
      <c r="H1040" s="54" t="str">
        <f t="shared" si="50"/>
        <v/>
      </c>
    </row>
    <row r="1041" spans="5:8" x14ac:dyDescent="0.25">
      <c r="E1041" s="54" t="str">
        <f>IF(A1041="","",SUMIF('Daftar Transaksi'!D:D,A1041,'Daftar Transaksi'!F:F))</f>
        <v/>
      </c>
      <c r="F1041" s="54" t="str">
        <f t="shared" si="48"/>
        <v/>
      </c>
      <c r="G1041" s="54" t="str">
        <f t="shared" si="49"/>
        <v/>
      </c>
      <c r="H1041" s="54" t="str">
        <f t="shared" si="50"/>
        <v/>
      </c>
    </row>
    <row r="1042" spans="5:8" x14ac:dyDescent="0.25">
      <c r="E1042" s="54" t="str">
        <f>IF(A1042="","",SUMIF('Daftar Transaksi'!D:D,A1042,'Daftar Transaksi'!F:F))</f>
        <v/>
      </c>
      <c r="F1042" s="54" t="str">
        <f t="shared" si="48"/>
        <v/>
      </c>
      <c r="G1042" s="54" t="str">
        <f t="shared" si="49"/>
        <v/>
      </c>
      <c r="H1042" s="54" t="str">
        <f t="shared" si="50"/>
        <v/>
      </c>
    </row>
    <row r="1043" spans="5:8" x14ac:dyDescent="0.25">
      <c r="E1043" s="54" t="str">
        <f>IF(A1043="","",SUMIF('Daftar Transaksi'!D:D,A1043,'Daftar Transaksi'!F:F))</f>
        <v/>
      </c>
      <c r="F1043" s="54" t="str">
        <f t="shared" si="48"/>
        <v/>
      </c>
      <c r="G1043" s="54" t="str">
        <f t="shared" si="49"/>
        <v/>
      </c>
      <c r="H1043" s="54" t="str">
        <f t="shared" si="50"/>
        <v/>
      </c>
    </row>
    <row r="1044" spans="5:8" x14ac:dyDescent="0.25">
      <c r="E1044" s="54" t="str">
        <f>IF(A1044="","",SUMIF('Daftar Transaksi'!D:D,A1044,'Daftar Transaksi'!F:F))</f>
        <v/>
      </c>
      <c r="F1044" s="54" t="str">
        <f t="shared" si="48"/>
        <v/>
      </c>
      <c r="G1044" s="54" t="str">
        <f t="shared" si="49"/>
        <v/>
      </c>
      <c r="H1044" s="54" t="str">
        <f t="shared" si="50"/>
        <v/>
      </c>
    </row>
    <row r="1045" spans="5:8" x14ac:dyDescent="0.25">
      <c r="E1045" s="54" t="str">
        <f>IF(A1045="","",SUMIF('Daftar Transaksi'!D:D,A1045,'Daftar Transaksi'!F:F))</f>
        <v/>
      </c>
      <c r="F1045" s="54" t="str">
        <f t="shared" si="48"/>
        <v/>
      </c>
      <c r="G1045" s="54" t="str">
        <f t="shared" si="49"/>
        <v/>
      </c>
      <c r="H1045" s="54" t="str">
        <f t="shared" si="50"/>
        <v/>
      </c>
    </row>
    <row r="1046" spans="5:8" x14ac:dyDescent="0.25">
      <c r="E1046" s="54" t="str">
        <f>IF(A1046="","",SUMIF('Daftar Transaksi'!D:D,A1046,'Daftar Transaksi'!F:F))</f>
        <v/>
      </c>
      <c r="F1046" s="54" t="str">
        <f t="shared" si="48"/>
        <v/>
      </c>
      <c r="G1046" s="54" t="str">
        <f t="shared" si="49"/>
        <v/>
      </c>
      <c r="H1046" s="54" t="str">
        <f t="shared" si="50"/>
        <v/>
      </c>
    </row>
    <row r="1047" spans="5:8" x14ac:dyDescent="0.25">
      <c r="E1047" s="54" t="str">
        <f>IF(A1047="","",SUMIF('Daftar Transaksi'!D:D,A1047,'Daftar Transaksi'!F:F))</f>
        <v/>
      </c>
      <c r="F1047" s="54" t="str">
        <f t="shared" si="48"/>
        <v/>
      </c>
      <c r="G1047" s="54" t="str">
        <f t="shared" si="49"/>
        <v/>
      </c>
      <c r="H1047" s="54" t="str">
        <f t="shared" si="50"/>
        <v/>
      </c>
    </row>
    <row r="1048" spans="5:8" x14ac:dyDescent="0.25">
      <c r="E1048" s="54" t="str">
        <f>IF(A1048="","",SUMIF('Daftar Transaksi'!D:D,A1048,'Daftar Transaksi'!F:F))</f>
        <v/>
      </c>
      <c r="F1048" s="54" t="str">
        <f t="shared" si="48"/>
        <v/>
      </c>
      <c r="G1048" s="54" t="str">
        <f t="shared" si="49"/>
        <v/>
      </c>
      <c r="H1048" s="54" t="str">
        <f t="shared" si="50"/>
        <v/>
      </c>
    </row>
    <row r="1049" spans="5:8" x14ac:dyDescent="0.25">
      <c r="E1049" s="54" t="str">
        <f>IF(A1049="","",SUMIF('Daftar Transaksi'!D:D,A1049,'Daftar Transaksi'!F:F))</f>
        <v/>
      </c>
      <c r="F1049" s="54" t="str">
        <f t="shared" si="48"/>
        <v/>
      </c>
      <c r="G1049" s="54" t="str">
        <f t="shared" si="49"/>
        <v/>
      </c>
      <c r="H1049" s="54" t="str">
        <f t="shared" si="50"/>
        <v/>
      </c>
    </row>
    <row r="1050" spans="5:8" x14ac:dyDescent="0.25">
      <c r="E1050" s="54" t="str">
        <f>IF(A1050="","",SUMIF('Daftar Transaksi'!D:D,A1050,'Daftar Transaksi'!F:F))</f>
        <v/>
      </c>
      <c r="F1050" s="54" t="str">
        <f t="shared" si="48"/>
        <v/>
      </c>
      <c r="G1050" s="54" t="str">
        <f t="shared" si="49"/>
        <v/>
      </c>
      <c r="H1050" s="54" t="str">
        <f t="shared" si="50"/>
        <v/>
      </c>
    </row>
    <row r="1051" spans="5:8" x14ac:dyDescent="0.25">
      <c r="E1051" s="54" t="str">
        <f>IF(A1051="","",SUMIF('Daftar Transaksi'!D:D,A1051,'Daftar Transaksi'!F:F))</f>
        <v/>
      </c>
      <c r="F1051" s="54" t="str">
        <f t="shared" si="48"/>
        <v/>
      </c>
      <c r="G1051" s="54" t="str">
        <f t="shared" si="49"/>
        <v/>
      </c>
      <c r="H1051" s="54" t="str">
        <f t="shared" si="50"/>
        <v/>
      </c>
    </row>
    <row r="1052" spans="5:8" x14ac:dyDescent="0.25">
      <c r="E1052" s="54" t="str">
        <f>IF(A1052="","",SUMIF('Daftar Transaksi'!D:D,A1052,'Daftar Transaksi'!F:F))</f>
        <v/>
      </c>
      <c r="F1052" s="54" t="str">
        <f t="shared" si="48"/>
        <v/>
      </c>
      <c r="G1052" s="54" t="str">
        <f t="shared" si="49"/>
        <v/>
      </c>
      <c r="H1052" s="54" t="str">
        <f t="shared" si="50"/>
        <v/>
      </c>
    </row>
    <row r="1053" spans="5:8" x14ac:dyDescent="0.25">
      <c r="E1053" s="54" t="str">
        <f>IF(A1053="","",SUMIF('Daftar Transaksi'!D:D,A1053,'Daftar Transaksi'!F:F))</f>
        <v/>
      </c>
      <c r="F1053" s="54" t="str">
        <f t="shared" si="48"/>
        <v/>
      </c>
      <c r="G1053" s="54" t="str">
        <f t="shared" si="49"/>
        <v/>
      </c>
      <c r="H1053" s="54" t="str">
        <f t="shared" si="50"/>
        <v/>
      </c>
    </row>
    <row r="1054" spans="5:8" x14ac:dyDescent="0.25">
      <c r="E1054" s="54" t="str">
        <f>IF(A1054="","",SUMIF('Daftar Transaksi'!D:D,A1054,'Daftar Transaksi'!F:F))</f>
        <v/>
      </c>
      <c r="F1054" s="54" t="str">
        <f t="shared" si="48"/>
        <v/>
      </c>
      <c r="G1054" s="54" t="str">
        <f t="shared" si="49"/>
        <v/>
      </c>
      <c r="H1054" s="54" t="str">
        <f t="shared" si="50"/>
        <v/>
      </c>
    </row>
    <row r="1055" spans="5:8" x14ac:dyDescent="0.25">
      <c r="E1055" s="54" t="str">
        <f>IF(A1055="","",SUMIF('Daftar Transaksi'!D:D,A1055,'Daftar Transaksi'!F:F))</f>
        <v/>
      </c>
      <c r="F1055" s="54" t="str">
        <f t="shared" si="48"/>
        <v/>
      </c>
      <c r="G1055" s="54" t="str">
        <f t="shared" si="49"/>
        <v/>
      </c>
      <c r="H1055" s="54" t="str">
        <f t="shared" si="50"/>
        <v/>
      </c>
    </row>
    <row r="1056" spans="5:8" x14ac:dyDescent="0.25">
      <c r="E1056" s="54" t="str">
        <f>IF(A1056="","",SUMIF('Daftar Transaksi'!D:D,A1056,'Daftar Transaksi'!F:F))</f>
        <v/>
      </c>
      <c r="F1056" s="54" t="str">
        <f t="shared" si="48"/>
        <v/>
      </c>
      <c r="G1056" s="54" t="str">
        <f t="shared" si="49"/>
        <v/>
      </c>
      <c r="H1056" s="54" t="str">
        <f t="shared" si="50"/>
        <v/>
      </c>
    </row>
    <row r="1057" spans="5:8" x14ac:dyDescent="0.25">
      <c r="E1057" s="54" t="str">
        <f>IF(A1057="","",SUMIF('Daftar Transaksi'!D:D,A1057,'Daftar Transaksi'!F:F))</f>
        <v/>
      </c>
      <c r="F1057" s="54" t="str">
        <f t="shared" si="48"/>
        <v/>
      </c>
      <c r="G1057" s="54" t="str">
        <f t="shared" si="49"/>
        <v/>
      </c>
      <c r="H1057" s="54" t="str">
        <f t="shared" si="50"/>
        <v/>
      </c>
    </row>
    <row r="1058" spans="5:8" x14ac:dyDescent="0.25">
      <c r="E1058" s="54" t="str">
        <f>IF(A1058="","",SUMIF('Daftar Transaksi'!D:D,A1058,'Daftar Transaksi'!F:F))</f>
        <v/>
      </c>
      <c r="F1058" s="54" t="str">
        <f t="shared" si="48"/>
        <v/>
      </c>
      <c r="G1058" s="54" t="str">
        <f t="shared" si="49"/>
        <v/>
      </c>
      <c r="H1058" s="54" t="str">
        <f t="shared" si="50"/>
        <v/>
      </c>
    </row>
    <row r="1059" spans="5:8" x14ac:dyDescent="0.25">
      <c r="E1059" s="54" t="str">
        <f>IF(A1059="","",SUMIF('Daftar Transaksi'!D:D,A1059,'Daftar Transaksi'!F:F))</f>
        <v/>
      </c>
      <c r="F1059" s="54" t="str">
        <f t="shared" si="48"/>
        <v/>
      </c>
      <c r="G1059" s="54" t="str">
        <f t="shared" si="49"/>
        <v/>
      </c>
      <c r="H1059" s="54" t="str">
        <f t="shared" si="50"/>
        <v/>
      </c>
    </row>
    <row r="1060" spans="5:8" x14ac:dyDescent="0.25">
      <c r="E1060" s="54" t="str">
        <f>IF(A1060="","",SUMIF('Daftar Transaksi'!D:D,A1060,'Daftar Transaksi'!F:F))</f>
        <v/>
      </c>
      <c r="F1060" s="54" t="str">
        <f t="shared" si="48"/>
        <v/>
      </c>
      <c r="G1060" s="54" t="str">
        <f t="shared" si="49"/>
        <v/>
      </c>
      <c r="H1060" s="54" t="str">
        <f t="shared" si="50"/>
        <v/>
      </c>
    </row>
    <row r="1061" spans="5:8" x14ac:dyDescent="0.25">
      <c r="E1061" s="54" t="str">
        <f>IF(A1061="","",SUMIF('Daftar Transaksi'!D:D,A1061,'Daftar Transaksi'!F:F))</f>
        <v/>
      </c>
      <c r="F1061" s="54" t="str">
        <f t="shared" si="48"/>
        <v/>
      </c>
      <c r="G1061" s="54" t="str">
        <f t="shared" si="49"/>
        <v/>
      </c>
      <c r="H1061" s="54" t="str">
        <f t="shared" si="50"/>
        <v/>
      </c>
    </row>
    <row r="1062" spans="5:8" x14ac:dyDescent="0.25">
      <c r="E1062" s="54" t="str">
        <f>IF(A1062="","",SUMIF('Daftar Transaksi'!D:D,A1062,'Daftar Transaksi'!F:F))</f>
        <v/>
      </c>
      <c r="F1062" s="54" t="str">
        <f t="shared" si="48"/>
        <v/>
      </c>
      <c r="G1062" s="54" t="str">
        <f t="shared" si="49"/>
        <v/>
      </c>
      <c r="H1062" s="54" t="str">
        <f t="shared" si="50"/>
        <v/>
      </c>
    </row>
    <row r="1063" spans="5:8" x14ac:dyDescent="0.25">
      <c r="E1063" s="54" t="str">
        <f>IF(A1063="","",SUMIF('Daftar Transaksi'!D:D,A1063,'Daftar Transaksi'!F:F))</f>
        <v/>
      </c>
      <c r="F1063" s="54" t="str">
        <f t="shared" si="48"/>
        <v/>
      </c>
      <c r="G1063" s="54" t="str">
        <f t="shared" si="49"/>
        <v/>
      </c>
      <c r="H1063" s="54" t="str">
        <f t="shared" si="50"/>
        <v/>
      </c>
    </row>
    <row r="1064" spans="5:8" x14ac:dyDescent="0.25">
      <c r="E1064" s="54" t="str">
        <f>IF(A1064="","",SUMIF('Daftar Transaksi'!D:D,A1064,'Daftar Transaksi'!F:F))</f>
        <v/>
      </c>
      <c r="F1064" s="54" t="str">
        <f t="shared" si="48"/>
        <v/>
      </c>
      <c r="G1064" s="54" t="str">
        <f t="shared" si="49"/>
        <v/>
      </c>
      <c r="H1064" s="54" t="str">
        <f t="shared" si="50"/>
        <v/>
      </c>
    </row>
    <row r="1065" spans="5:8" x14ac:dyDescent="0.25">
      <c r="E1065" s="54" t="str">
        <f>IF(A1065="","",SUMIF('Daftar Transaksi'!D:D,A1065,'Daftar Transaksi'!F:F))</f>
        <v/>
      </c>
      <c r="F1065" s="54" t="str">
        <f t="shared" si="48"/>
        <v/>
      </c>
      <c r="G1065" s="54" t="str">
        <f t="shared" si="49"/>
        <v/>
      </c>
      <c r="H1065" s="54" t="str">
        <f t="shared" si="50"/>
        <v/>
      </c>
    </row>
    <row r="1066" spans="5:8" x14ac:dyDescent="0.25">
      <c r="E1066" s="54" t="str">
        <f>IF(A1066="","",SUMIF('Daftar Transaksi'!D:D,A1066,'Daftar Transaksi'!F:F))</f>
        <v/>
      </c>
      <c r="F1066" s="54" t="str">
        <f t="shared" si="48"/>
        <v/>
      </c>
      <c r="G1066" s="54" t="str">
        <f t="shared" si="49"/>
        <v/>
      </c>
      <c r="H1066" s="54" t="str">
        <f t="shared" si="50"/>
        <v/>
      </c>
    </row>
    <row r="1067" spans="5:8" x14ac:dyDescent="0.25">
      <c r="E1067" s="54" t="str">
        <f>IF(A1067="","",SUMIF('Daftar Transaksi'!D:D,A1067,'Daftar Transaksi'!F:F))</f>
        <v/>
      </c>
      <c r="F1067" s="54" t="str">
        <f t="shared" si="48"/>
        <v/>
      </c>
      <c r="G1067" s="54" t="str">
        <f t="shared" si="49"/>
        <v/>
      </c>
      <c r="H1067" s="54" t="str">
        <f t="shared" si="50"/>
        <v/>
      </c>
    </row>
    <row r="1068" spans="5:8" x14ac:dyDescent="0.25">
      <c r="E1068" s="54" t="str">
        <f>IF(A1068="","",SUMIF('Daftar Transaksi'!D:D,A1068,'Daftar Transaksi'!F:F))</f>
        <v/>
      </c>
      <c r="F1068" s="54" t="str">
        <f t="shared" si="48"/>
        <v/>
      </c>
      <c r="G1068" s="54" t="str">
        <f t="shared" si="49"/>
        <v/>
      </c>
      <c r="H1068" s="54" t="str">
        <f t="shared" si="50"/>
        <v/>
      </c>
    </row>
    <row r="1069" spans="5:8" x14ac:dyDescent="0.25">
      <c r="E1069" s="54" t="str">
        <f>IF(A1069="","",SUMIF('Daftar Transaksi'!D:D,A1069,'Daftar Transaksi'!F:F))</f>
        <v/>
      </c>
      <c r="F1069" s="54" t="str">
        <f t="shared" si="48"/>
        <v/>
      </c>
      <c r="G1069" s="54" t="str">
        <f t="shared" si="49"/>
        <v/>
      </c>
      <c r="H1069" s="54" t="str">
        <f t="shared" si="50"/>
        <v/>
      </c>
    </row>
    <row r="1070" spans="5:8" x14ac:dyDescent="0.25">
      <c r="E1070" s="54" t="str">
        <f>IF(A1070="","",SUMIF('Daftar Transaksi'!D:D,A1070,'Daftar Transaksi'!F:F))</f>
        <v/>
      </c>
      <c r="F1070" s="54" t="str">
        <f t="shared" si="48"/>
        <v/>
      </c>
      <c r="G1070" s="54" t="str">
        <f t="shared" si="49"/>
        <v/>
      </c>
      <c r="H1070" s="54" t="str">
        <f t="shared" si="50"/>
        <v/>
      </c>
    </row>
    <row r="1071" spans="5:8" x14ac:dyDescent="0.25">
      <c r="E1071" s="54" t="str">
        <f>IF(A1071="","",SUMIF('Daftar Transaksi'!D:D,A1071,'Daftar Transaksi'!F:F))</f>
        <v/>
      </c>
      <c r="F1071" s="54" t="str">
        <f t="shared" si="48"/>
        <v/>
      </c>
      <c r="G1071" s="54" t="str">
        <f t="shared" si="49"/>
        <v/>
      </c>
      <c r="H1071" s="54" t="str">
        <f t="shared" si="50"/>
        <v/>
      </c>
    </row>
    <row r="1072" spans="5:8" x14ac:dyDescent="0.25">
      <c r="E1072" s="54" t="str">
        <f>IF(A1072="","",SUMIF('Daftar Transaksi'!D:D,A1072,'Daftar Transaksi'!F:F))</f>
        <v/>
      </c>
      <c r="F1072" s="54" t="str">
        <f t="shared" si="48"/>
        <v/>
      </c>
      <c r="G1072" s="54" t="str">
        <f t="shared" si="49"/>
        <v/>
      </c>
      <c r="H1072" s="54" t="str">
        <f t="shared" si="50"/>
        <v/>
      </c>
    </row>
    <row r="1073" spans="5:8" x14ac:dyDescent="0.25">
      <c r="E1073" s="54" t="str">
        <f>IF(A1073="","",SUMIF('Daftar Transaksi'!D:D,A1073,'Daftar Transaksi'!F:F))</f>
        <v/>
      </c>
      <c r="F1073" s="54" t="str">
        <f t="shared" si="48"/>
        <v/>
      </c>
      <c r="G1073" s="54" t="str">
        <f t="shared" si="49"/>
        <v/>
      </c>
      <c r="H1073" s="54" t="str">
        <f t="shared" si="50"/>
        <v/>
      </c>
    </row>
    <row r="1074" spans="5:8" x14ac:dyDescent="0.25">
      <c r="E1074" s="54" t="str">
        <f>IF(A1074="","",SUMIF('Daftar Transaksi'!D:D,A1074,'Daftar Transaksi'!F:F))</f>
        <v/>
      </c>
      <c r="F1074" s="54" t="str">
        <f t="shared" si="48"/>
        <v/>
      </c>
      <c r="G1074" s="54" t="str">
        <f t="shared" si="49"/>
        <v/>
      </c>
      <c r="H1074" s="54" t="str">
        <f t="shared" si="50"/>
        <v/>
      </c>
    </row>
    <row r="1075" spans="5:8" x14ac:dyDescent="0.25">
      <c r="E1075" s="54" t="str">
        <f>IF(A1075="","",SUMIF('Daftar Transaksi'!D:D,A1075,'Daftar Transaksi'!F:F))</f>
        <v/>
      </c>
      <c r="F1075" s="54" t="str">
        <f t="shared" si="48"/>
        <v/>
      </c>
      <c r="G1075" s="54" t="str">
        <f t="shared" si="49"/>
        <v/>
      </c>
      <c r="H1075" s="54" t="str">
        <f t="shared" si="50"/>
        <v/>
      </c>
    </row>
    <row r="1076" spans="5:8" x14ac:dyDescent="0.25">
      <c r="E1076" s="54" t="str">
        <f>IF(A1076="","",SUMIF('Daftar Transaksi'!D:D,A1076,'Daftar Transaksi'!F:F))</f>
        <v/>
      </c>
      <c r="F1076" s="54" t="str">
        <f t="shared" si="48"/>
        <v/>
      </c>
      <c r="G1076" s="54" t="str">
        <f t="shared" si="49"/>
        <v/>
      </c>
      <c r="H1076" s="54" t="str">
        <f t="shared" si="50"/>
        <v/>
      </c>
    </row>
    <row r="1077" spans="5:8" x14ac:dyDescent="0.25">
      <c r="E1077" s="54" t="str">
        <f>IF(A1077="","",SUMIF('Daftar Transaksi'!D:D,A1077,'Daftar Transaksi'!F:F))</f>
        <v/>
      </c>
      <c r="F1077" s="54" t="str">
        <f t="shared" si="48"/>
        <v/>
      </c>
      <c r="G1077" s="54" t="str">
        <f t="shared" si="49"/>
        <v/>
      </c>
      <c r="H1077" s="54" t="str">
        <f t="shared" si="50"/>
        <v/>
      </c>
    </row>
    <row r="1078" spans="5:8" x14ac:dyDescent="0.25">
      <c r="E1078" s="54" t="str">
        <f>IF(A1078="","",SUMIF('Daftar Transaksi'!D:D,A1078,'Daftar Transaksi'!F:F))</f>
        <v/>
      </c>
      <c r="F1078" s="54" t="str">
        <f t="shared" si="48"/>
        <v/>
      </c>
      <c r="G1078" s="54" t="str">
        <f t="shared" si="49"/>
        <v/>
      </c>
      <c r="H1078" s="54" t="str">
        <f t="shared" si="50"/>
        <v/>
      </c>
    </row>
    <row r="1079" spans="5:8" x14ac:dyDescent="0.25">
      <c r="E1079" s="54" t="str">
        <f>IF(A1079="","",SUMIF('Daftar Transaksi'!D:D,A1079,'Daftar Transaksi'!F:F))</f>
        <v/>
      </c>
      <c r="F1079" s="54" t="str">
        <f t="shared" si="48"/>
        <v/>
      </c>
      <c r="G1079" s="54" t="str">
        <f t="shared" si="49"/>
        <v/>
      </c>
      <c r="H1079" s="54" t="str">
        <f t="shared" si="50"/>
        <v/>
      </c>
    </row>
    <row r="1080" spans="5:8" x14ac:dyDescent="0.25">
      <c r="E1080" s="54" t="str">
        <f>IF(A1080="","",SUMIF('Daftar Transaksi'!D:D,A1080,'Daftar Transaksi'!F:F))</f>
        <v/>
      </c>
      <c r="F1080" s="54" t="str">
        <f t="shared" si="48"/>
        <v/>
      </c>
      <c r="G1080" s="54" t="str">
        <f t="shared" si="49"/>
        <v/>
      </c>
      <c r="H1080" s="54" t="str">
        <f t="shared" si="50"/>
        <v/>
      </c>
    </row>
    <row r="1081" spans="5:8" x14ac:dyDescent="0.25">
      <c r="E1081" s="54" t="str">
        <f>IF(A1081="","",SUMIF('Daftar Transaksi'!D:D,A1081,'Daftar Transaksi'!F:F))</f>
        <v/>
      </c>
      <c r="F1081" s="54" t="str">
        <f t="shared" si="48"/>
        <v/>
      </c>
      <c r="G1081" s="54" t="str">
        <f t="shared" si="49"/>
        <v/>
      </c>
      <c r="H1081" s="54" t="str">
        <f t="shared" si="50"/>
        <v/>
      </c>
    </row>
    <row r="1082" spans="5:8" x14ac:dyDescent="0.25">
      <c r="E1082" s="54" t="str">
        <f>IF(A1082="","",SUMIF('Daftar Transaksi'!D:D,A1082,'Daftar Transaksi'!F:F))</f>
        <v/>
      </c>
      <c r="F1082" s="54" t="str">
        <f t="shared" si="48"/>
        <v/>
      </c>
      <c r="G1082" s="54" t="str">
        <f t="shared" si="49"/>
        <v/>
      </c>
      <c r="H1082" s="54" t="str">
        <f t="shared" si="50"/>
        <v/>
      </c>
    </row>
    <row r="1083" spans="5:8" x14ac:dyDescent="0.25">
      <c r="E1083" s="54" t="str">
        <f>IF(A1083="","",SUMIF('Daftar Transaksi'!D:D,A1083,'Daftar Transaksi'!F:F))</f>
        <v/>
      </c>
      <c r="F1083" s="54" t="str">
        <f t="shared" si="48"/>
        <v/>
      </c>
      <c r="G1083" s="54" t="str">
        <f t="shared" si="49"/>
        <v/>
      </c>
      <c r="H1083" s="54" t="str">
        <f t="shared" si="50"/>
        <v/>
      </c>
    </row>
    <row r="1084" spans="5:8" x14ac:dyDescent="0.25">
      <c r="E1084" s="54" t="str">
        <f>IF(A1084="","",SUMIF('Daftar Transaksi'!D:D,A1084,'Daftar Transaksi'!F:F))</f>
        <v/>
      </c>
      <c r="F1084" s="54" t="str">
        <f t="shared" si="48"/>
        <v/>
      </c>
      <c r="G1084" s="54" t="str">
        <f t="shared" si="49"/>
        <v/>
      </c>
      <c r="H1084" s="54" t="str">
        <f t="shared" si="50"/>
        <v/>
      </c>
    </row>
    <row r="1085" spans="5:8" x14ac:dyDescent="0.25">
      <c r="E1085" s="54" t="str">
        <f>IF(A1085="","",SUMIF('Daftar Transaksi'!D:D,A1085,'Daftar Transaksi'!F:F))</f>
        <v/>
      </c>
      <c r="F1085" s="54" t="str">
        <f t="shared" si="48"/>
        <v/>
      </c>
      <c r="G1085" s="54" t="str">
        <f t="shared" si="49"/>
        <v/>
      </c>
      <c r="H1085" s="54" t="str">
        <f t="shared" si="50"/>
        <v/>
      </c>
    </row>
    <row r="1086" spans="5:8" x14ac:dyDescent="0.25">
      <c r="E1086" s="54" t="str">
        <f>IF(A1086="","",SUMIF('Daftar Transaksi'!D:D,A1086,'Daftar Transaksi'!F:F))</f>
        <v/>
      </c>
      <c r="F1086" s="54" t="str">
        <f t="shared" si="48"/>
        <v/>
      </c>
      <c r="G1086" s="54" t="str">
        <f t="shared" si="49"/>
        <v/>
      </c>
      <c r="H1086" s="54" t="str">
        <f t="shared" si="50"/>
        <v/>
      </c>
    </row>
    <row r="1087" spans="5:8" x14ac:dyDescent="0.25">
      <c r="E1087" s="54" t="str">
        <f>IF(A1087="","",SUMIF('Daftar Transaksi'!D:D,A1087,'Daftar Transaksi'!F:F))</f>
        <v/>
      </c>
      <c r="F1087" s="54" t="str">
        <f t="shared" ref="F1087:F1150" si="51">IF(A1087="","",D1087-E1087)</f>
        <v/>
      </c>
      <c r="G1087" s="54" t="str">
        <f t="shared" ref="G1087:G1150" si="52">IF(A1087="","",C1087*E1087)</f>
        <v/>
      </c>
      <c r="H1087" s="54" t="str">
        <f t="shared" ref="H1087:H1150" si="53">IF(A1087="","",G1087-(B1087*E1087))</f>
        <v/>
      </c>
    </row>
    <row r="1088" spans="5:8" x14ac:dyDescent="0.25">
      <c r="E1088" s="54" t="str">
        <f>IF(A1088="","",SUMIF('Daftar Transaksi'!D:D,A1088,'Daftar Transaksi'!F:F))</f>
        <v/>
      </c>
      <c r="F1088" s="54" t="str">
        <f t="shared" si="51"/>
        <v/>
      </c>
      <c r="G1088" s="54" t="str">
        <f t="shared" si="52"/>
        <v/>
      </c>
      <c r="H1088" s="54" t="str">
        <f t="shared" si="53"/>
        <v/>
      </c>
    </row>
    <row r="1089" spans="5:8" x14ac:dyDescent="0.25">
      <c r="E1089" s="54" t="str">
        <f>IF(A1089="","",SUMIF('Daftar Transaksi'!D:D,A1089,'Daftar Transaksi'!F:F))</f>
        <v/>
      </c>
      <c r="F1089" s="54" t="str">
        <f t="shared" si="51"/>
        <v/>
      </c>
      <c r="G1089" s="54" t="str">
        <f t="shared" si="52"/>
        <v/>
      </c>
      <c r="H1089" s="54" t="str">
        <f t="shared" si="53"/>
        <v/>
      </c>
    </row>
    <row r="1090" spans="5:8" x14ac:dyDescent="0.25">
      <c r="E1090" s="54" t="str">
        <f>IF(A1090="","",SUMIF('Daftar Transaksi'!D:D,A1090,'Daftar Transaksi'!F:F))</f>
        <v/>
      </c>
      <c r="F1090" s="54" t="str">
        <f t="shared" si="51"/>
        <v/>
      </c>
      <c r="G1090" s="54" t="str">
        <f t="shared" si="52"/>
        <v/>
      </c>
      <c r="H1090" s="54" t="str">
        <f t="shared" si="53"/>
        <v/>
      </c>
    </row>
    <row r="1091" spans="5:8" x14ac:dyDescent="0.25">
      <c r="E1091" s="54" t="str">
        <f>IF(A1091="","",SUMIF('Daftar Transaksi'!D:D,A1091,'Daftar Transaksi'!F:F))</f>
        <v/>
      </c>
      <c r="F1091" s="54" t="str">
        <f t="shared" si="51"/>
        <v/>
      </c>
      <c r="G1091" s="54" t="str">
        <f t="shared" si="52"/>
        <v/>
      </c>
      <c r="H1091" s="54" t="str">
        <f t="shared" si="53"/>
        <v/>
      </c>
    </row>
    <row r="1092" spans="5:8" x14ac:dyDescent="0.25">
      <c r="E1092" s="54" t="str">
        <f>IF(A1092="","",SUMIF('Daftar Transaksi'!D:D,A1092,'Daftar Transaksi'!F:F))</f>
        <v/>
      </c>
      <c r="F1092" s="54" t="str">
        <f t="shared" si="51"/>
        <v/>
      </c>
      <c r="G1092" s="54" t="str">
        <f t="shared" si="52"/>
        <v/>
      </c>
      <c r="H1092" s="54" t="str">
        <f t="shared" si="53"/>
        <v/>
      </c>
    </row>
    <row r="1093" spans="5:8" x14ac:dyDescent="0.25">
      <c r="E1093" s="54" t="str">
        <f>IF(A1093="","",SUMIF('Daftar Transaksi'!D:D,A1093,'Daftar Transaksi'!F:F))</f>
        <v/>
      </c>
      <c r="F1093" s="54" t="str">
        <f t="shared" si="51"/>
        <v/>
      </c>
      <c r="G1093" s="54" t="str">
        <f t="shared" si="52"/>
        <v/>
      </c>
      <c r="H1093" s="54" t="str">
        <f t="shared" si="53"/>
        <v/>
      </c>
    </row>
    <row r="1094" spans="5:8" x14ac:dyDescent="0.25">
      <c r="E1094" s="54" t="str">
        <f>IF(A1094="","",SUMIF('Daftar Transaksi'!D:D,A1094,'Daftar Transaksi'!F:F))</f>
        <v/>
      </c>
      <c r="F1094" s="54" t="str">
        <f t="shared" si="51"/>
        <v/>
      </c>
      <c r="G1094" s="54" t="str">
        <f t="shared" si="52"/>
        <v/>
      </c>
      <c r="H1094" s="54" t="str">
        <f t="shared" si="53"/>
        <v/>
      </c>
    </row>
    <row r="1095" spans="5:8" x14ac:dyDescent="0.25">
      <c r="E1095" s="54" t="str">
        <f>IF(A1095="","",SUMIF('Daftar Transaksi'!D:D,A1095,'Daftar Transaksi'!F:F))</f>
        <v/>
      </c>
      <c r="F1095" s="54" t="str">
        <f t="shared" si="51"/>
        <v/>
      </c>
      <c r="G1095" s="54" t="str">
        <f t="shared" si="52"/>
        <v/>
      </c>
      <c r="H1095" s="54" t="str">
        <f t="shared" si="53"/>
        <v/>
      </c>
    </row>
    <row r="1096" spans="5:8" x14ac:dyDescent="0.25">
      <c r="E1096" s="54" t="str">
        <f>IF(A1096="","",SUMIF('Daftar Transaksi'!D:D,A1096,'Daftar Transaksi'!F:F))</f>
        <v/>
      </c>
      <c r="F1096" s="54" t="str">
        <f t="shared" si="51"/>
        <v/>
      </c>
      <c r="G1096" s="54" t="str">
        <f t="shared" si="52"/>
        <v/>
      </c>
      <c r="H1096" s="54" t="str">
        <f t="shared" si="53"/>
        <v/>
      </c>
    </row>
    <row r="1097" spans="5:8" x14ac:dyDescent="0.25">
      <c r="E1097" s="54" t="str">
        <f>IF(A1097="","",SUMIF('Daftar Transaksi'!D:D,A1097,'Daftar Transaksi'!F:F))</f>
        <v/>
      </c>
      <c r="F1097" s="54" t="str">
        <f t="shared" si="51"/>
        <v/>
      </c>
      <c r="G1097" s="54" t="str">
        <f t="shared" si="52"/>
        <v/>
      </c>
      <c r="H1097" s="54" t="str">
        <f t="shared" si="53"/>
        <v/>
      </c>
    </row>
    <row r="1098" spans="5:8" x14ac:dyDescent="0.25">
      <c r="E1098" s="54" t="str">
        <f>IF(A1098="","",SUMIF('Daftar Transaksi'!D:D,A1098,'Daftar Transaksi'!F:F))</f>
        <v/>
      </c>
      <c r="F1098" s="54" t="str">
        <f t="shared" si="51"/>
        <v/>
      </c>
      <c r="G1098" s="54" t="str">
        <f t="shared" si="52"/>
        <v/>
      </c>
      <c r="H1098" s="54" t="str">
        <f t="shared" si="53"/>
        <v/>
      </c>
    </row>
    <row r="1099" spans="5:8" x14ac:dyDescent="0.25">
      <c r="E1099" s="54" t="str">
        <f>IF(A1099="","",SUMIF('Daftar Transaksi'!D:D,A1099,'Daftar Transaksi'!F:F))</f>
        <v/>
      </c>
      <c r="F1099" s="54" t="str">
        <f t="shared" si="51"/>
        <v/>
      </c>
      <c r="G1099" s="54" t="str">
        <f t="shared" si="52"/>
        <v/>
      </c>
      <c r="H1099" s="54" t="str">
        <f t="shared" si="53"/>
        <v/>
      </c>
    </row>
    <row r="1100" spans="5:8" x14ac:dyDescent="0.25">
      <c r="E1100" s="54" t="str">
        <f>IF(A1100="","",SUMIF('Daftar Transaksi'!D:D,A1100,'Daftar Transaksi'!F:F))</f>
        <v/>
      </c>
      <c r="F1100" s="54" t="str">
        <f t="shared" si="51"/>
        <v/>
      </c>
      <c r="G1100" s="54" t="str">
        <f t="shared" si="52"/>
        <v/>
      </c>
      <c r="H1100" s="54" t="str">
        <f t="shared" si="53"/>
        <v/>
      </c>
    </row>
    <row r="1101" spans="5:8" x14ac:dyDescent="0.25">
      <c r="E1101" s="54" t="str">
        <f>IF(A1101="","",SUMIF('Daftar Transaksi'!D:D,A1101,'Daftar Transaksi'!F:F))</f>
        <v/>
      </c>
      <c r="F1101" s="54" t="str">
        <f t="shared" si="51"/>
        <v/>
      </c>
      <c r="G1101" s="54" t="str">
        <f t="shared" si="52"/>
        <v/>
      </c>
      <c r="H1101" s="54" t="str">
        <f t="shared" si="53"/>
        <v/>
      </c>
    </row>
    <row r="1102" spans="5:8" x14ac:dyDescent="0.25">
      <c r="E1102" s="54" t="str">
        <f>IF(A1102="","",SUMIF('Daftar Transaksi'!D:D,A1102,'Daftar Transaksi'!F:F))</f>
        <v/>
      </c>
      <c r="F1102" s="54" t="str">
        <f t="shared" si="51"/>
        <v/>
      </c>
      <c r="G1102" s="54" t="str">
        <f t="shared" si="52"/>
        <v/>
      </c>
      <c r="H1102" s="54" t="str">
        <f t="shared" si="53"/>
        <v/>
      </c>
    </row>
    <row r="1103" spans="5:8" x14ac:dyDescent="0.25">
      <c r="E1103" s="54" t="str">
        <f>IF(A1103="","",SUMIF('Daftar Transaksi'!D:D,A1103,'Daftar Transaksi'!F:F))</f>
        <v/>
      </c>
      <c r="F1103" s="54" t="str">
        <f t="shared" si="51"/>
        <v/>
      </c>
      <c r="G1103" s="54" t="str">
        <f t="shared" si="52"/>
        <v/>
      </c>
      <c r="H1103" s="54" t="str">
        <f t="shared" si="53"/>
        <v/>
      </c>
    </row>
    <row r="1104" spans="5:8" x14ac:dyDescent="0.25">
      <c r="E1104" s="54" t="str">
        <f>IF(A1104="","",SUMIF('Daftar Transaksi'!D:D,A1104,'Daftar Transaksi'!F:F))</f>
        <v/>
      </c>
      <c r="F1104" s="54" t="str">
        <f t="shared" si="51"/>
        <v/>
      </c>
      <c r="G1104" s="54" t="str">
        <f t="shared" si="52"/>
        <v/>
      </c>
      <c r="H1104" s="54" t="str">
        <f t="shared" si="53"/>
        <v/>
      </c>
    </row>
    <row r="1105" spans="5:8" x14ac:dyDescent="0.25">
      <c r="E1105" s="54" t="str">
        <f>IF(A1105="","",SUMIF('Daftar Transaksi'!D:D,A1105,'Daftar Transaksi'!F:F))</f>
        <v/>
      </c>
      <c r="F1105" s="54" t="str">
        <f t="shared" si="51"/>
        <v/>
      </c>
      <c r="G1105" s="54" t="str">
        <f t="shared" si="52"/>
        <v/>
      </c>
      <c r="H1105" s="54" t="str">
        <f t="shared" si="53"/>
        <v/>
      </c>
    </row>
    <row r="1106" spans="5:8" x14ac:dyDescent="0.25">
      <c r="E1106" s="54" t="str">
        <f>IF(A1106="","",SUMIF('Daftar Transaksi'!D:D,A1106,'Daftar Transaksi'!F:F))</f>
        <v/>
      </c>
      <c r="F1106" s="54" t="str">
        <f t="shared" si="51"/>
        <v/>
      </c>
      <c r="G1106" s="54" t="str">
        <f t="shared" si="52"/>
        <v/>
      </c>
      <c r="H1106" s="54" t="str">
        <f t="shared" si="53"/>
        <v/>
      </c>
    </row>
    <row r="1107" spans="5:8" x14ac:dyDescent="0.25">
      <c r="E1107" s="54" t="str">
        <f>IF(A1107="","",SUMIF('Daftar Transaksi'!D:D,A1107,'Daftar Transaksi'!F:F))</f>
        <v/>
      </c>
      <c r="F1107" s="54" t="str">
        <f t="shared" si="51"/>
        <v/>
      </c>
      <c r="G1107" s="54" t="str">
        <f t="shared" si="52"/>
        <v/>
      </c>
      <c r="H1107" s="54" t="str">
        <f t="shared" si="53"/>
        <v/>
      </c>
    </row>
    <row r="1108" spans="5:8" x14ac:dyDescent="0.25">
      <c r="E1108" s="54" t="str">
        <f>IF(A1108="","",SUMIF('Daftar Transaksi'!D:D,A1108,'Daftar Transaksi'!F:F))</f>
        <v/>
      </c>
      <c r="F1108" s="54" t="str">
        <f t="shared" si="51"/>
        <v/>
      </c>
      <c r="G1108" s="54" t="str">
        <f t="shared" si="52"/>
        <v/>
      </c>
      <c r="H1108" s="54" t="str">
        <f t="shared" si="53"/>
        <v/>
      </c>
    </row>
    <row r="1109" spans="5:8" x14ac:dyDescent="0.25">
      <c r="E1109" s="54" t="str">
        <f>IF(A1109="","",SUMIF('Daftar Transaksi'!D:D,A1109,'Daftar Transaksi'!F:F))</f>
        <v/>
      </c>
      <c r="F1109" s="54" t="str">
        <f t="shared" si="51"/>
        <v/>
      </c>
      <c r="G1109" s="54" t="str">
        <f t="shared" si="52"/>
        <v/>
      </c>
      <c r="H1109" s="54" t="str">
        <f t="shared" si="53"/>
        <v/>
      </c>
    </row>
    <row r="1110" spans="5:8" x14ac:dyDescent="0.25">
      <c r="E1110" s="54" t="str">
        <f>IF(A1110="","",SUMIF('Daftar Transaksi'!D:D,A1110,'Daftar Transaksi'!F:F))</f>
        <v/>
      </c>
      <c r="F1110" s="54" t="str">
        <f t="shared" si="51"/>
        <v/>
      </c>
      <c r="G1110" s="54" t="str">
        <f t="shared" si="52"/>
        <v/>
      </c>
      <c r="H1110" s="54" t="str">
        <f t="shared" si="53"/>
        <v/>
      </c>
    </row>
    <row r="1111" spans="5:8" x14ac:dyDescent="0.25">
      <c r="E1111" s="54" t="str">
        <f>IF(A1111="","",SUMIF('Daftar Transaksi'!D:D,A1111,'Daftar Transaksi'!F:F))</f>
        <v/>
      </c>
      <c r="F1111" s="54" t="str">
        <f t="shared" si="51"/>
        <v/>
      </c>
      <c r="G1111" s="54" t="str">
        <f t="shared" si="52"/>
        <v/>
      </c>
      <c r="H1111" s="54" t="str">
        <f t="shared" si="53"/>
        <v/>
      </c>
    </row>
    <row r="1112" spans="5:8" x14ac:dyDescent="0.25">
      <c r="E1112" s="54" t="str">
        <f>IF(A1112="","",SUMIF('Daftar Transaksi'!D:D,A1112,'Daftar Transaksi'!F:F))</f>
        <v/>
      </c>
      <c r="F1112" s="54" t="str">
        <f t="shared" si="51"/>
        <v/>
      </c>
      <c r="G1112" s="54" t="str">
        <f t="shared" si="52"/>
        <v/>
      </c>
      <c r="H1112" s="54" t="str">
        <f t="shared" si="53"/>
        <v/>
      </c>
    </row>
    <row r="1113" spans="5:8" x14ac:dyDescent="0.25">
      <c r="E1113" s="54" t="str">
        <f>IF(A1113="","",SUMIF('Daftar Transaksi'!D:D,A1113,'Daftar Transaksi'!F:F))</f>
        <v/>
      </c>
      <c r="F1113" s="54" t="str">
        <f t="shared" si="51"/>
        <v/>
      </c>
      <c r="G1113" s="54" t="str">
        <f t="shared" si="52"/>
        <v/>
      </c>
      <c r="H1113" s="54" t="str">
        <f t="shared" si="53"/>
        <v/>
      </c>
    </row>
    <row r="1114" spans="5:8" x14ac:dyDescent="0.25">
      <c r="E1114" s="54" t="str">
        <f>IF(A1114="","",SUMIF('Daftar Transaksi'!D:D,A1114,'Daftar Transaksi'!F:F))</f>
        <v/>
      </c>
      <c r="F1114" s="54" t="str">
        <f t="shared" si="51"/>
        <v/>
      </c>
      <c r="G1114" s="54" t="str">
        <f t="shared" si="52"/>
        <v/>
      </c>
      <c r="H1114" s="54" t="str">
        <f t="shared" si="53"/>
        <v/>
      </c>
    </row>
    <row r="1115" spans="5:8" x14ac:dyDescent="0.25">
      <c r="E1115" s="54" t="str">
        <f>IF(A1115="","",SUMIF('Daftar Transaksi'!D:D,A1115,'Daftar Transaksi'!F:F))</f>
        <v/>
      </c>
      <c r="F1115" s="54" t="str">
        <f t="shared" si="51"/>
        <v/>
      </c>
      <c r="G1115" s="54" t="str">
        <f t="shared" si="52"/>
        <v/>
      </c>
      <c r="H1115" s="54" t="str">
        <f t="shared" si="53"/>
        <v/>
      </c>
    </row>
    <row r="1116" spans="5:8" x14ac:dyDescent="0.25">
      <c r="E1116" s="54" t="str">
        <f>IF(A1116="","",SUMIF('Daftar Transaksi'!D:D,A1116,'Daftar Transaksi'!F:F))</f>
        <v/>
      </c>
      <c r="F1116" s="54" t="str">
        <f t="shared" si="51"/>
        <v/>
      </c>
      <c r="G1116" s="54" t="str">
        <f t="shared" si="52"/>
        <v/>
      </c>
      <c r="H1116" s="54" t="str">
        <f t="shared" si="53"/>
        <v/>
      </c>
    </row>
    <row r="1117" spans="5:8" x14ac:dyDescent="0.25">
      <c r="E1117" s="54" t="str">
        <f>IF(A1117="","",SUMIF('Daftar Transaksi'!D:D,A1117,'Daftar Transaksi'!F:F))</f>
        <v/>
      </c>
      <c r="F1117" s="54" t="str">
        <f t="shared" si="51"/>
        <v/>
      </c>
      <c r="G1117" s="54" t="str">
        <f t="shared" si="52"/>
        <v/>
      </c>
      <c r="H1117" s="54" t="str">
        <f t="shared" si="53"/>
        <v/>
      </c>
    </row>
    <row r="1118" spans="5:8" x14ac:dyDescent="0.25">
      <c r="E1118" s="54" t="str">
        <f>IF(A1118="","",SUMIF('Daftar Transaksi'!D:D,A1118,'Daftar Transaksi'!F:F))</f>
        <v/>
      </c>
      <c r="F1118" s="54" t="str">
        <f t="shared" si="51"/>
        <v/>
      </c>
      <c r="G1118" s="54" t="str">
        <f t="shared" si="52"/>
        <v/>
      </c>
      <c r="H1118" s="54" t="str">
        <f t="shared" si="53"/>
        <v/>
      </c>
    </row>
    <row r="1119" spans="5:8" x14ac:dyDescent="0.25">
      <c r="E1119" s="54" t="str">
        <f>IF(A1119="","",SUMIF('Daftar Transaksi'!D:D,A1119,'Daftar Transaksi'!F:F))</f>
        <v/>
      </c>
      <c r="F1119" s="54" t="str">
        <f t="shared" si="51"/>
        <v/>
      </c>
      <c r="G1119" s="54" t="str">
        <f t="shared" si="52"/>
        <v/>
      </c>
      <c r="H1119" s="54" t="str">
        <f t="shared" si="53"/>
        <v/>
      </c>
    </row>
    <row r="1120" spans="5:8" x14ac:dyDescent="0.25">
      <c r="E1120" s="54" t="str">
        <f>IF(A1120="","",SUMIF('Daftar Transaksi'!D:D,A1120,'Daftar Transaksi'!F:F))</f>
        <v/>
      </c>
      <c r="F1120" s="54" t="str">
        <f t="shared" si="51"/>
        <v/>
      </c>
      <c r="G1120" s="54" t="str">
        <f t="shared" si="52"/>
        <v/>
      </c>
      <c r="H1120" s="54" t="str">
        <f t="shared" si="53"/>
        <v/>
      </c>
    </row>
    <row r="1121" spans="5:8" x14ac:dyDescent="0.25">
      <c r="E1121" s="54" t="str">
        <f>IF(A1121="","",SUMIF('Daftar Transaksi'!D:D,A1121,'Daftar Transaksi'!F:F))</f>
        <v/>
      </c>
      <c r="F1121" s="54" t="str">
        <f t="shared" si="51"/>
        <v/>
      </c>
      <c r="G1121" s="54" t="str">
        <f t="shared" si="52"/>
        <v/>
      </c>
      <c r="H1121" s="54" t="str">
        <f t="shared" si="53"/>
        <v/>
      </c>
    </row>
    <row r="1122" spans="5:8" x14ac:dyDescent="0.25">
      <c r="E1122" s="54" t="str">
        <f>IF(A1122="","",SUMIF('Daftar Transaksi'!D:D,A1122,'Daftar Transaksi'!F:F))</f>
        <v/>
      </c>
      <c r="F1122" s="54" t="str">
        <f t="shared" si="51"/>
        <v/>
      </c>
      <c r="G1122" s="54" t="str">
        <f t="shared" si="52"/>
        <v/>
      </c>
      <c r="H1122" s="54" t="str">
        <f t="shared" si="53"/>
        <v/>
      </c>
    </row>
    <row r="1123" spans="5:8" x14ac:dyDescent="0.25">
      <c r="E1123" s="54" t="str">
        <f>IF(A1123="","",SUMIF('Daftar Transaksi'!D:D,A1123,'Daftar Transaksi'!F:F))</f>
        <v/>
      </c>
      <c r="F1123" s="54" t="str">
        <f t="shared" si="51"/>
        <v/>
      </c>
      <c r="G1123" s="54" t="str">
        <f t="shared" si="52"/>
        <v/>
      </c>
      <c r="H1123" s="54" t="str">
        <f t="shared" si="53"/>
        <v/>
      </c>
    </row>
    <row r="1124" spans="5:8" x14ac:dyDescent="0.25">
      <c r="E1124" s="54" t="str">
        <f>IF(A1124="","",SUMIF('Daftar Transaksi'!D:D,A1124,'Daftar Transaksi'!F:F))</f>
        <v/>
      </c>
      <c r="F1124" s="54" t="str">
        <f t="shared" si="51"/>
        <v/>
      </c>
      <c r="G1124" s="54" t="str">
        <f t="shared" si="52"/>
        <v/>
      </c>
      <c r="H1124" s="54" t="str">
        <f t="shared" si="53"/>
        <v/>
      </c>
    </row>
    <row r="1125" spans="5:8" x14ac:dyDescent="0.25">
      <c r="E1125" s="54" t="str">
        <f>IF(A1125="","",SUMIF('Daftar Transaksi'!D:D,A1125,'Daftar Transaksi'!F:F))</f>
        <v/>
      </c>
      <c r="F1125" s="54" t="str">
        <f t="shared" si="51"/>
        <v/>
      </c>
      <c r="G1125" s="54" t="str">
        <f t="shared" si="52"/>
        <v/>
      </c>
      <c r="H1125" s="54" t="str">
        <f t="shared" si="53"/>
        <v/>
      </c>
    </row>
    <row r="1126" spans="5:8" x14ac:dyDescent="0.25">
      <c r="E1126" s="54" t="str">
        <f>IF(A1126="","",SUMIF('Daftar Transaksi'!D:D,A1126,'Daftar Transaksi'!F:F))</f>
        <v/>
      </c>
      <c r="F1126" s="54" t="str">
        <f t="shared" si="51"/>
        <v/>
      </c>
      <c r="G1126" s="54" t="str">
        <f t="shared" si="52"/>
        <v/>
      </c>
      <c r="H1126" s="54" t="str">
        <f t="shared" si="53"/>
        <v/>
      </c>
    </row>
    <row r="1127" spans="5:8" x14ac:dyDescent="0.25">
      <c r="E1127" s="54" t="str">
        <f>IF(A1127="","",SUMIF('Daftar Transaksi'!D:D,A1127,'Daftar Transaksi'!F:F))</f>
        <v/>
      </c>
      <c r="F1127" s="54" t="str">
        <f t="shared" si="51"/>
        <v/>
      </c>
      <c r="G1127" s="54" t="str">
        <f t="shared" si="52"/>
        <v/>
      </c>
      <c r="H1127" s="54" t="str">
        <f t="shared" si="53"/>
        <v/>
      </c>
    </row>
    <row r="1128" spans="5:8" x14ac:dyDescent="0.25">
      <c r="E1128" s="54" t="str">
        <f>IF(A1128="","",SUMIF('Daftar Transaksi'!D:D,A1128,'Daftar Transaksi'!F:F))</f>
        <v/>
      </c>
      <c r="F1128" s="54" t="str">
        <f t="shared" si="51"/>
        <v/>
      </c>
      <c r="G1128" s="54" t="str">
        <f t="shared" si="52"/>
        <v/>
      </c>
      <c r="H1128" s="54" t="str">
        <f t="shared" si="53"/>
        <v/>
      </c>
    </row>
    <row r="1129" spans="5:8" x14ac:dyDescent="0.25">
      <c r="E1129" s="54" t="str">
        <f>IF(A1129="","",SUMIF('Daftar Transaksi'!D:D,A1129,'Daftar Transaksi'!F:F))</f>
        <v/>
      </c>
      <c r="F1129" s="54" t="str">
        <f t="shared" si="51"/>
        <v/>
      </c>
      <c r="G1129" s="54" t="str">
        <f t="shared" si="52"/>
        <v/>
      </c>
      <c r="H1129" s="54" t="str">
        <f t="shared" si="53"/>
        <v/>
      </c>
    </row>
    <row r="1130" spans="5:8" x14ac:dyDescent="0.25">
      <c r="E1130" s="54" t="str">
        <f>IF(A1130="","",SUMIF('Daftar Transaksi'!D:D,A1130,'Daftar Transaksi'!F:F))</f>
        <v/>
      </c>
      <c r="F1130" s="54" t="str">
        <f t="shared" si="51"/>
        <v/>
      </c>
      <c r="G1130" s="54" t="str">
        <f t="shared" si="52"/>
        <v/>
      </c>
      <c r="H1130" s="54" t="str">
        <f t="shared" si="53"/>
        <v/>
      </c>
    </row>
    <row r="1131" spans="5:8" x14ac:dyDescent="0.25">
      <c r="E1131" s="54" t="str">
        <f>IF(A1131="","",SUMIF('Daftar Transaksi'!D:D,A1131,'Daftar Transaksi'!F:F))</f>
        <v/>
      </c>
      <c r="F1131" s="54" t="str">
        <f t="shared" si="51"/>
        <v/>
      </c>
      <c r="G1131" s="54" t="str">
        <f t="shared" si="52"/>
        <v/>
      </c>
      <c r="H1131" s="54" t="str">
        <f t="shared" si="53"/>
        <v/>
      </c>
    </row>
    <row r="1132" spans="5:8" x14ac:dyDescent="0.25">
      <c r="E1132" s="54" t="str">
        <f>IF(A1132="","",SUMIF('Daftar Transaksi'!D:D,A1132,'Daftar Transaksi'!F:F))</f>
        <v/>
      </c>
      <c r="F1132" s="54" t="str">
        <f t="shared" si="51"/>
        <v/>
      </c>
      <c r="G1132" s="54" t="str">
        <f t="shared" si="52"/>
        <v/>
      </c>
      <c r="H1132" s="54" t="str">
        <f t="shared" si="53"/>
        <v/>
      </c>
    </row>
    <row r="1133" spans="5:8" x14ac:dyDescent="0.25">
      <c r="E1133" s="54" t="str">
        <f>IF(A1133="","",SUMIF('Daftar Transaksi'!D:D,A1133,'Daftar Transaksi'!F:F))</f>
        <v/>
      </c>
      <c r="F1133" s="54" t="str">
        <f t="shared" si="51"/>
        <v/>
      </c>
      <c r="G1133" s="54" t="str">
        <f t="shared" si="52"/>
        <v/>
      </c>
      <c r="H1133" s="54" t="str">
        <f t="shared" si="53"/>
        <v/>
      </c>
    </row>
    <row r="1134" spans="5:8" x14ac:dyDescent="0.25">
      <c r="E1134" s="54" t="str">
        <f>IF(A1134="","",SUMIF('Daftar Transaksi'!D:D,A1134,'Daftar Transaksi'!F:F))</f>
        <v/>
      </c>
      <c r="F1134" s="54" t="str">
        <f t="shared" si="51"/>
        <v/>
      </c>
      <c r="G1134" s="54" t="str">
        <f t="shared" si="52"/>
        <v/>
      </c>
      <c r="H1134" s="54" t="str">
        <f t="shared" si="53"/>
        <v/>
      </c>
    </row>
    <row r="1135" spans="5:8" x14ac:dyDescent="0.25">
      <c r="E1135" s="54" t="str">
        <f>IF(A1135="","",SUMIF('Daftar Transaksi'!D:D,A1135,'Daftar Transaksi'!F:F))</f>
        <v/>
      </c>
      <c r="F1135" s="54" t="str">
        <f t="shared" si="51"/>
        <v/>
      </c>
      <c r="G1135" s="54" t="str">
        <f t="shared" si="52"/>
        <v/>
      </c>
      <c r="H1135" s="54" t="str">
        <f t="shared" si="53"/>
        <v/>
      </c>
    </row>
    <row r="1136" spans="5:8" x14ac:dyDescent="0.25">
      <c r="E1136" s="54" t="str">
        <f>IF(A1136="","",SUMIF('Daftar Transaksi'!D:D,A1136,'Daftar Transaksi'!F:F))</f>
        <v/>
      </c>
      <c r="F1136" s="54" t="str">
        <f t="shared" si="51"/>
        <v/>
      </c>
      <c r="G1136" s="54" t="str">
        <f t="shared" si="52"/>
        <v/>
      </c>
      <c r="H1136" s="54" t="str">
        <f t="shared" si="53"/>
        <v/>
      </c>
    </row>
    <row r="1137" spans="5:8" x14ac:dyDescent="0.25">
      <c r="E1137" s="54" t="str">
        <f>IF(A1137="","",SUMIF('Daftar Transaksi'!D:D,A1137,'Daftar Transaksi'!F:F))</f>
        <v/>
      </c>
      <c r="F1137" s="54" t="str">
        <f t="shared" si="51"/>
        <v/>
      </c>
      <c r="G1137" s="54" t="str">
        <f t="shared" si="52"/>
        <v/>
      </c>
      <c r="H1137" s="54" t="str">
        <f t="shared" si="53"/>
        <v/>
      </c>
    </row>
    <row r="1138" spans="5:8" x14ac:dyDescent="0.25">
      <c r="E1138" s="54" t="str">
        <f>IF(A1138="","",SUMIF('Daftar Transaksi'!D:D,A1138,'Daftar Transaksi'!F:F))</f>
        <v/>
      </c>
      <c r="F1138" s="54" t="str">
        <f t="shared" si="51"/>
        <v/>
      </c>
      <c r="G1138" s="54" t="str">
        <f t="shared" si="52"/>
        <v/>
      </c>
      <c r="H1138" s="54" t="str">
        <f t="shared" si="53"/>
        <v/>
      </c>
    </row>
    <row r="1139" spans="5:8" x14ac:dyDescent="0.25">
      <c r="E1139" s="54" t="str">
        <f>IF(A1139="","",SUMIF('Daftar Transaksi'!D:D,A1139,'Daftar Transaksi'!F:F))</f>
        <v/>
      </c>
      <c r="F1139" s="54" t="str">
        <f t="shared" si="51"/>
        <v/>
      </c>
      <c r="G1139" s="54" t="str">
        <f t="shared" si="52"/>
        <v/>
      </c>
      <c r="H1139" s="54" t="str">
        <f t="shared" si="53"/>
        <v/>
      </c>
    </row>
    <row r="1140" spans="5:8" x14ac:dyDescent="0.25">
      <c r="E1140" s="54" t="str">
        <f>IF(A1140="","",SUMIF('Daftar Transaksi'!D:D,A1140,'Daftar Transaksi'!F:F))</f>
        <v/>
      </c>
      <c r="F1140" s="54" t="str">
        <f t="shared" si="51"/>
        <v/>
      </c>
      <c r="G1140" s="54" t="str">
        <f t="shared" si="52"/>
        <v/>
      </c>
      <c r="H1140" s="54" t="str">
        <f t="shared" si="53"/>
        <v/>
      </c>
    </row>
    <row r="1141" spans="5:8" x14ac:dyDescent="0.25">
      <c r="E1141" s="54" t="str">
        <f>IF(A1141="","",SUMIF('Daftar Transaksi'!D:D,A1141,'Daftar Transaksi'!F:F))</f>
        <v/>
      </c>
      <c r="F1141" s="54" t="str">
        <f t="shared" si="51"/>
        <v/>
      </c>
      <c r="G1141" s="54" t="str">
        <f t="shared" si="52"/>
        <v/>
      </c>
      <c r="H1141" s="54" t="str">
        <f t="shared" si="53"/>
        <v/>
      </c>
    </row>
    <row r="1142" spans="5:8" x14ac:dyDescent="0.25">
      <c r="E1142" s="54" t="str">
        <f>IF(A1142="","",SUMIF('Daftar Transaksi'!D:D,A1142,'Daftar Transaksi'!F:F))</f>
        <v/>
      </c>
      <c r="F1142" s="54" t="str">
        <f t="shared" si="51"/>
        <v/>
      </c>
      <c r="G1142" s="54" t="str">
        <f t="shared" si="52"/>
        <v/>
      </c>
      <c r="H1142" s="54" t="str">
        <f t="shared" si="53"/>
        <v/>
      </c>
    </row>
    <row r="1143" spans="5:8" x14ac:dyDescent="0.25">
      <c r="E1143" s="54" t="str">
        <f>IF(A1143="","",SUMIF('Daftar Transaksi'!D:D,A1143,'Daftar Transaksi'!F:F))</f>
        <v/>
      </c>
      <c r="F1143" s="54" t="str">
        <f t="shared" si="51"/>
        <v/>
      </c>
      <c r="G1143" s="54" t="str">
        <f t="shared" si="52"/>
        <v/>
      </c>
      <c r="H1143" s="54" t="str">
        <f t="shared" si="53"/>
        <v/>
      </c>
    </row>
    <row r="1144" spans="5:8" x14ac:dyDescent="0.25">
      <c r="E1144" s="54" t="str">
        <f>IF(A1144="","",SUMIF('Daftar Transaksi'!D:D,A1144,'Daftar Transaksi'!F:F))</f>
        <v/>
      </c>
      <c r="F1144" s="54" t="str">
        <f t="shared" si="51"/>
        <v/>
      </c>
      <c r="G1144" s="54" t="str">
        <f t="shared" si="52"/>
        <v/>
      </c>
      <c r="H1144" s="54" t="str">
        <f t="shared" si="53"/>
        <v/>
      </c>
    </row>
    <row r="1145" spans="5:8" x14ac:dyDescent="0.25">
      <c r="E1145" s="54" t="str">
        <f>IF(A1145="","",SUMIF('Daftar Transaksi'!D:D,A1145,'Daftar Transaksi'!F:F))</f>
        <v/>
      </c>
      <c r="F1145" s="54" t="str">
        <f t="shared" si="51"/>
        <v/>
      </c>
      <c r="G1145" s="54" t="str">
        <f t="shared" si="52"/>
        <v/>
      </c>
      <c r="H1145" s="54" t="str">
        <f t="shared" si="53"/>
        <v/>
      </c>
    </row>
    <row r="1146" spans="5:8" x14ac:dyDescent="0.25">
      <c r="E1146" s="54" t="str">
        <f>IF(A1146="","",SUMIF('Daftar Transaksi'!D:D,A1146,'Daftar Transaksi'!F:F))</f>
        <v/>
      </c>
      <c r="F1146" s="54" t="str">
        <f t="shared" si="51"/>
        <v/>
      </c>
      <c r="G1146" s="54" t="str">
        <f t="shared" si="52"/>
        <v/>
      </c>
      <c r="H1146" s="54" t="str">
        <f t="shared" si="53"/>
        <v/>
      </c>
    </row>
    <row r="1147" spans="5:8" x14ac:dyDescent="0.25">
      <c r="E1147" s="54" t="str">
        <f>IF(A1147="","",SUMIF('Daftar Transaksi'!D:D,A1147,'Daftar Transaksi'!F:F))</f>
        <v/>
      </c>
      <c r="F1147" s="54" t="str">
        <f t="shared" si="51"/>
        <v/>
      </c>
      <c r="G1147" s="54" t="str">
        <f t="shared" si="52"/>
        <v/>
      </c>
      <c r="H1147" s="54" t="str">
        <f t="shared" si="53"/>
        <v/>
      </c>
    </row>
    <row r="1148" spans="5:8" x14ac:dyDescent="0.25">
      <c r="E1148" s="54" t="str">
        <f>IF(A1148="","",SUMIF('Daftar Transaksi'!D:D,A1148,'Daftar Transaksi'!F:F))</f>
        <v/>
      </c>
      <c r="F1148" s="54" t="str">
        <f t="shared" si="51"/>
        <v/>
      </c>
      <c r="G1148" s="54" t="str">
        <f t="shared" si="52"/>
        <v/>
      </c>
      <c r="H1148" s="54" t="str">
        <f t="shared" si="53"/>
        <v/>
      </c>
    </row>
    <row r="1149" spans="5:8" x14ac:dyDescent="0.25">
      <c r="E1149" s="54" t="str">
        <f>IF(A1149="","",SUMIF('Daftar Transaksi'!D:D,A1149,'Daftar Transaksi'!F:F))</f>
        <v/>
      </c>
      <c r="F1149" s="54" t="str">
        <f t="shared" si="51"/>
        <v/>
      </c>
      <c r="G1149" s="54" t="str">
        <f t="shared" si="52"/>
        <v/>
      </c>
      <c r="H1149" s="54" t="str">
        <f t="shared" si="53"/>
        <v/>
      </c>
    </row>
    <row r="1150" spans="5:8" x14ac:dyDescent="0.25">
      <c r="E1150" s="54" t="str">
        <f>IF(A1150="","",SUMIF('Daftar Transaksi'!D:D,A1150,'Daftar Transaksi'!F:F))</f>
        <v/>
      </c>
      <c r="F1150" s="54" t="str">
        <f t="shared" si="51"/>
        <v/>
      </c>
      <c r="G1150" s="54" t="str">
        <f t="shared" si="52"/>
        <v/>
      </c>
      <c r="H1150" s="54" t="str">
        <f t="shared" si="53"/>
        <v/>
      </c>
    </row>
    <row r="1151" spans="5:8" x14ac:dyDescent="0.25">
      <c r="E1151" s="54" t="str">
        <f>IF(A1151="","",SUMIF('Daftar Transaksi'!D:D,A1151,'Daftar Transaksi'!F:F))</f>
        <v/>
      </c>
      <c r="F1151" s="54" t="str">
        <f t="shared" ref="F1151:F1214" si="54">IF(A1151="","",D1151-E1151)</f>
        <v/>
      </c>
      <c r="G1151" s="54" t="str">
        <f t="shared" ref="G1151:G1214" si="55">IF(A1151="","",C1151*E1151)</f>
        <v/>
      </c>
      <c r="H1151" s="54" t="str">
        <f t="shared" ref="H1151:H1214" si="56">IF(A1151="","",G1151-(B1151*E1151))</f>
        <v/>
      </c>
    </row>
    <row r="1152" spans="5:8" x14ac:dyDescent="0.25">
      <c r="E1152" s="54" t="str">
        <f>IF(A1152="","",SUMIF('Daftar Transaksi'!D:D,A1152,'Daftar Transaksi'!F:F))</f>
        <v/>
      </c>
      <c r="F1152" s="54" t="str">
        <f t="shared" si="54"/>
        <v/>
      </c>
      <c r="G1152" s="54" t="str">
        <f t="shared" si="55"/>
        <v/>
      </c>
      <c r="H1152" s="54" t="str">
        <f t="shared" si="56"/>
        <v/>
      </c>
    </row>
    <row r="1153" spans="5:8" x14ac:dyDescent="0.25">
      <c r="E1153" s="54" t="str">
        <f>IF(A1153="","",SUMIF('Daftar Transaksi'!D:D,A1153,'Daftar Transaksi'!F:F))</f>
        <v/>
      </c>
      <c r="F1153" s="54" t="str">
        <f t="shared" si="54"/>
        <v/>
      </c>
      <c r="G1153" s="54" t="str">
        <f t="shared" si="55"/>
        <v/>
      </c>
      <c r="H1153" s="54" t="str">
        <f t="shared" si="56"/>
        <v/>
      </c>
    </row>
    <row r="1154" spans="5:8" x14ac:dyDescent="0.25">
      <c r="E1154" s="54" t="str">
        <f>IF(A1154="","",SUMIF('Daftar Transaksi'!D:D,A1154,'Daftar Transaksi'!F:F))</f>
        <v/>
      </c>
      <c r="F1154" s="54" t="str">
        <f t="shared" si="54"/>
        <v/>
      </c>
      <c r="G1154" s="54" t="str">
        <f t="shared" si="55"/>
        <v/>
      </c>
      <c r="H1154" s="54" t="str">
        <f t="shared" si="56"/>
        <v/>
      </c>
    </row>
    <row r="1155" spans="5:8" x14ac:dyDescent="0.25">
      <c r="E1155" s="54" t="str">
        <f>IF(A1155="","",SUMIF('Daftar Transaksi'!D:D,A1155,'Daftar Transaksi'!F:F))</f>
        <v/>
      </c>
      <c r="F1155" s="54" t="str">
        <f t="shared" si="54"/>
        <v/>
      </c>
      <c r="G1155" s="54" t="str">
        <f t="shared" si="55"/>
        <v/>
      </c>
      <c r="H1155" s="54" t="str">
        <f t="shared" si="56"/>
        <v/>
      </c>
    </row>
    <row r="1156" spans="5:8" x14ac:dyDescent="0.25">
      <c r="E1156" s="54" t="str">
        <f>IF(A1156="","",SUMIF('Daftar Transaksi'!D:D,A1156,'Daftar Transaksi'!F:F))</f>
        <v/>
      </c>
      <c r="F1156" s="54" t="str">
        <f t="shared" si="54"/>
        <v/>
      </c>
      <c r="G1156" s="54" t="str">
        <f t="shared" si="55"/>
        <v/>
      </c>
      <c r="H1156" s="54" t="str">
        <f t="shared" si="56"/>
        <v/>
      </c>
    </row>
    <row r="1157" spans="5:8" x14ac:dyDescent="0.25">
      <c r="E1157" s="54" t="str">
        <f>IF(A1157="","",SUMIF('Daftar Transaksi'!D:D,A1157,'Daftar Transaksi'!F:F))</f>
        <v/>
      </c>
      <c r="F1157" s="54" t="str">
        <f t="shared" si="54"/>
        <v/>
      </c>
      <c r="G1157" s="54" t="str">
        <f t="shared" si="55"/>
        <v/>
      </c>
      <c r="H1157" s="54" t="str">
        <f t="shared" si="56"/>
        <v/>
      </c>
    </row>
    <row r="1158" spans="5:8" x14ac:dyDescent="0.25">
      <c r="E1158" s="54" t="str">
        <f>IF(A1158="","",SUMIF('Daftar Transaksi'!D:D,A1158,'Daftar Transaksi'!F:F))</f>
        <v/>
      </c>
      <c r="F1158" s="54" t="str">
        <f t="shared" si="54"/>
        <v/>
      </c>
      <c r="G1158" s="54" t="str">
        <f t="shared" si="55"/>
        <v/>
      </c>
      <c r="H1158" s="54" t="str">
        <f t="shared" si="56"/>
        <v/>
      </c>
    </row>
    <row r="1159" spans="5:8" x14ac:dyDescent="0.25">
      <c r="E1159" s="54" t="str">
        <f>IF(A1159="","",SUMIF('Daftar Transaksi'!D:D,A1159,'Daftar Transaksi'!F:F))</f>
        <v/>
      </c>
      <c r="F1159" s="54" t="str">
        <f t="shared" si="54"/>
        <v/>
      </c>
      <c r="G1159" s="54" t="str">
        <f t="shared" si="55"/>
        <v/>
      </c>
      <c r="H1159" s="54" t="str">
        <f t="shared" si="56"/>
        <v/>
      </c>
    </row>
    <row r="1160" spans="5:8" x14ac:dyDescent="0.25">
      <c r="E1160" s="54" t="str">
        <f>IF(A1160="","",SUMIF('Daftar Transaksi'!D:D,A1160,'Daftar Transaksi'!F:F))</f>
        <v/>
      </c>
      <c r="F1160" s="54" t="str">
        <f t="shared" si="54"/>
        <v/>
      </c>
      <c r="G1160" s="54" t="str">
        <f t="shared" si="55"/>
        <v/>
      </c>
      <c r="H1160" s="54" t="str">
        <f t="shared" si="56"/>
        <v/>
      </c>
    </row>
    <row r="1161" spans="5:8" x14ac:dyDescent="0.25">
      <c r="E1161" s="54" t="str">
        <f>IF(A1161="","",SUMIF('Daftar Transaksi'!D:D,A1161,'Daftar Transaksi'!F:F))</f>
        <v/>
      </c>
      <c r="F1161" s="54" t="str">
        <f t="shared" si="54"/>
        <v/>
      </c>
      <c r="G1161" s="54" t="str">
        <f t="shared" si="55"/>
        <v/>
      </c>
      <c r="H1161" s="54" t="str">
        <f t="shared" si="56"/>
        <v/>
      </c>
    </row>
    <row r="1162" spans="5:8" x14ac:dyDescent="0.25">
      <c r="E1162" s="54" t="str">
        <f>IF(A1162="","",SUMIF('Daftar Transaksi'!D:D,A1162,'Daftar Transaksi'!F:F))</f>
        <v/>
      </c>
      <c r="F1162" s="54" t="str">
        <f t="shared" si="54"/>
        <v/>
      </c>
      <c r="G1162" s="54" t="str">
        <f t="shared" si="55"/>
        <v/>
      </c>
      <c r="H1162" s="54" t="str">
        <f t="shared" si="56"/>
        <v/>
      </c>
    </row>
    <row r="1163" spans="5:8" x14ac:dyDescent="0.25">
      <c r="E1163" s="54" t="str">
        <f>IF(A1163="","",SUMIF('Daftar Transaksi'!D:D,A1163,'Daftar Transaksi'!F:F))</f>
        <v/>
      </c>
      <c r="F1163" s="54" t="str">
        <f t="shared" si="54"/>
        <v/>
      </c>
      <c r="G1163" s="54" t="str">
        <f t="shared" si="55"/>
        <v/>
      </c>
      <c r="H1163" s="54" t="str">
        <f t="shared" si="56"/>
        <v/>
      </c>
    </row>
    <row r="1164" spans="5:8" x14ac:dyDescent="0.25">
      <c r="E1164" s="54" t="str">
        <f>IF(A1164="","",SUMIF('Daftar Transaksi'!D:D,A1164,'Daftar Transaksi'!F:F))</f>
        <v/>
      </c>
      <c r="F1164" s="54" t="str">
        <f t="shared" si="54"/>
        <v/>
      </c>
      <c r="G1164" s="54" t="str">
        <f t="shared" si="55"/>
        <v/>
      </c>
      <c r="H1164" s="54" t="str">
        <f t="shared" si="56"/>
        <v/>
      </c>
    </row>
    <row r="1165" spans="5:8" x14ac:dyDescent="0.25">
      <c r="E1165" s="54" t="str">
        <f>IF(A1165="","",SUMIF('Daftar Transaksi'!D:D,A1165,'Daftar Transaksi'!F:F))</f>
        <v/>
      </c>
      <c r="F1165" s="54" t="str">
        <f t="shared" si="54"/>
        <v/>
      </c>
      <c r="G1165" s="54" t="str">
        <f t="shared" si="55"/>
        <v/>
      </c>
      <c r="H1165" s="54" t="str">
        <f t="shared" si="56"/>
        <v/>
      </c>
    </row>
    <row r="1166" spans="5:8" x14ac:dyDescent="0.25">
      <c r="E1166" s="54" t="str">
        <f>IF(A1166="","",SUMIF('Daftar Transaksi'!D:D,A1166,'Daftar Transaksi'!F:F))</f>
        <v/>
      </c>
      <c r="F1166" s="54" t="str">
        <f t="shared" si="54"/>
        <v/>
      </c>
      <c r="G1166" s="54" t="str">
        <f t="shared" si="55"/>
        <v/>
      </c>
      <c r="H1166" s="54" t="str">
        <f t="shared" si="56"/>
        <v/>
      </c>
    </row>
    <row r="1167" spans="5:8" x14ac:dyDescent="0.25">
      <c r="E1167" s="54" t="str">
        <f>IF(A1167="","",SUMIF('Daftar Transaksi'!D:D,A1167,'Daftar Transaksi'!F:F))</f>
        <v/>
      </c>
      <c r="F1167" s="54" t="str">
        <f t="shared" si="54"/>
        <v/>
      </c>
      <c r="G1167" s="54" t="str">
        <f t="shared" si="55"/>
        <v/>
      </c>
      <c r="H1167" s="54" t="str">
        <f t="shared" si="56"/>
        <v/>
      </c>
    </row>
    <row r="1168" spans="5:8" x14ac:dyDescent="0.25">
      <c r="E1168" s="54" t="str">
        <f>IF(A1168="","",SUMIF('Daftar Transaksi'!D:D,A1168,'Daftar Transaksi'!F:F))</f>
        <v/>
      </c>
      <c r="F1168" s="54" t="str">
        <f t="shared" si="54"/>
        <v/>
      </c>
      <c r="G1168" s="54" t="str">
        <f t="shared" si="55"/>
        <v/>
      </c>
      <c r="H1168" s="54" t="str">
        <f t="shared" si="56"/>
        <v/>
      </c>
    </row>
    <row r="1169" spans="5:8" x14ac:dyDescent="0.25">
      <c r="E1169" s="54" t="str">
        <f>IF(A1169="","",SUMIF('Daftar Transaksi'!D:D,A1169,'Daftar Transaksi'!F:F))</f>
        <v/>
      </c>
      <c r="F1169" s="54" t="str">
        <f t="shared" si="54"/>
        <v/>
      </c>
      <c r="G1169" s="54" t="str">
        <f t="shared" si="55"/>
        <v/>
      </c>
      <c r="H1169" s="54" t="str">
        <f t="shared" si="56"/>
        <v/>
      </c>
    </row>
    <row r="1170" spans="5:8" x14ac:dyDescent="0.25">
      <c r="E1170" s="54" t="str">
        <f>IF(A1170="","",SUMIF('Daftar Transaksi'!D:D,A1170,'Daftar Transaksi'!F:F))</f>
        <v/>
      </c>
      <c r="F1170" s="54" t="str">
        <f t="shared" si="54"/>
        <v/>
      </c>
      <c r="G1170" s="54" t="str">
        <f t="shared" si="55"/>
        <v/>
      </c>
      <c r="H1170" s="54" t="str">
        <f t="shared" si="56"/>
        <v/>
      </c>
    </row>
    <row r="1171" spans="5:8" x14ac:dyDescent="0.25">
      <c r="E1171" s="54" t="str">
        <f>IF(A1171="","",SUMIF('Daftar Transaksi'!D:D,A1171,'Daftar Transaksi'!F:F))</f>
        <v/>
      </c>
      <c r="F1171" s="54" t="str">
        <f t="shared" si="54"/>
        <v/>
      </c>
      <c r="G1171" s="54" t="str">
        <f t="shared" si="55"/>
        <v/>
      </c>
      <c r="H1171" s="54" t="str">
        <f t="shared" si="56"/>
        <v/>
      </c>
    </row>
    <row r="1172" spans="5:8" x14ac:dyDescent="0.25">
      <c r="E1172" s="54" t="str">
        <f>IF(A1172="","",SUMIF('Daftar Transaksi'!D:D,A1172,'Daftar Transaksi'!F:F))</f>
        <v/>
      </c>
      <c r="F1172" s="54" t="str">
        <f t="shared" si="54"/>
        <v/>
      </c>
      <c r="G1172" s="54" t="str">
        <f t="shared" si="55"/>
        <v/>
      </c>
      <c r="H1172" s="54" t="str">
        <f t="shared" si="56"/>
        <v/>
      </c>
    </row>
    <row r="1173" spans="5:8" x14ac:dyDescent="0.25">
      <c r="E1173" s="54" t="str">
        <f>IF(A1173="","",SUMIF('Daftar Transaksi'!D:D,A1173,'Daftar Transaksi'!F:F))</f>
        <v/>
      </c>
      <c r="F1173" s="54" t="str">
        <f t="shared" si="54"/>
        <v/>
      </c>
      <c r="G1173" s="54" t="str">
        <f t="shared" si="55"/>
        <v/>
      </c>
      <c r="H1173" s="54" t="str">
        <f t="shared" si="56"/>
        <v/>
      </c>
    </row>
    <row r="1174" spans="5:8" x14ac:dyDescent="0.25">
      <c r="E1174" s="54" t="str">
        <f>IF(A1174="","",SUMIF('Daftar Transaksi'!D:D,A1174,'Daftar Transaksi'!F:F))</f>
        <v/>
      </c>
      <c r="F1174" s="54" t="str">
        <f t="shared" si="54"/>
        <v/>
      </c>
      <c r="G1174" s="54" t="str">
        <f t="shared" si="55"/>
        <v/>
      </c>
      <c r="H1174" s="54" t="str">
        <f t="shared" si="56"/>
        <v/>
      </c>
    </row>
    <row r="1175" spans="5:8" x14ac:dyDescent="0.25">
      <c r="E1175" s="54" t="str">
        <f>IF(A1175="","",SUMIF('Daftar Transaksi'!D:D,A1175,'Daftar Transaksi'!F:F))</f>
        <v/>
      </c>
      <c r="F1175" s="54" t="str">
        <f t="shared" si="54"/>
        <v/>
      </c>
      <c r="G1175" s="54" t="str">
        <f t="shared" si="55"/>
        <v/>
      </c>
      <c r="H1175" s="54" t="str">
        <f t="shared" si="56"/>
        <v/>
      </c>
    </row>
    <row r="1176" spans="5:8" x14ac:dyDescent="0.25">
      <c r="E1176" s="54" t="str">
        <f>IF(A1176="","",SUMIF('Daftar Transaksi'!D:D,A1176,'Daftar Transaksi'!F:F))</f>
        <v/>
      </c>
      <c r="F1176" s="54" t="str">
        <f t="shared" si="54"/>
        <v/>
      </c>
      <c r="G1176" s="54" t="str">
        <f t="shared" si="55"/>
        <v/>
      </c>
      <c r="H1176" s="54" t="str">
        <f t="shared" si="56"/>
        <v/>
      </c>
    </row>
    <row r="1177" spans="5:8" x14ac:dyDescent="0.25">
      <c r="E1177" s="54" t="str">
        <f>IF(A1177="","",SUMIF('Daftar Transaksi'!D:D,A1177,'Daftar Transaksi'!F:F))</f>
        <v/>
      </c>
      <c r="F1177" s="54" t="str">
        <f t="shared" si="54"/>
        <v/>
      </c>
      <c r="G1177" s="54" t="str">
        <f t="shared" si="55"/>
        <v/>
      </c>
      <c r="H1177" s="54" t="str">
        <f t="shared" si="56"/>
        <v/>
      </c>
    </row>
    <row r="1178" spans="5:8" x14ac:dyDescent="0.25">
      <c r="E1178" s="54" t="str">
        <f>IF(A1178="","",SUMIF('Daftar Transaksi'!D:D,A1178,'Daftar Transaksi'!F:F))</f>
        <v/>
      </c>
      <c r="F1178" s="54" t="str">
        <f t="shared" si="54"/>
        <v/>
      </c>
      <c r="G1178" s="54" t="str">
        <f t="shared" si="55"/>
        <v/>
      </c>
      <c r="H1178" s="54" t="str">
        <f t="shared" si="56"/>
        <v/>
      </c>
    </row>
    <row r="1179" spans="5:8" x14ac:dyDescent="0.25">
      <c r="E1179" s="54" t="str">
        <f>IF(A1179="","",SUMIF('Daftar Transaksi'!D:D,A1179,'Daftar Transaksi'!F:F))</f>
        <v/>
      </c>
      <c r="F1179" s="54" t="str">
        <f t="shared" si="54"/>
        <v/>
      </c>
      <c r="G1179" s="54" t="str">
        <f t="shared" si="55"/>
        <v/>
      </c>
      <c r="H1179" s="54" t="str">
        <f t="shared" si="56"/>
        <v/>
      </c>
    </row>
    <row r="1180" spans="5:8" x14ac:dyDescent="0.25">
      <c r="E1180" s="54" t="str">
        <f>IF(A1180="","",SUMIF('Daftar Transaksi'!D:D,A1180,'Daftar Transaksi'!F:F))</f>
        <v/>
      </c>
      <c r="F1180" s="54" t="str">
        <f t="shared" si="54"/>
        <v/>
      </c>
      <c r="G1180" s="54" t="str">
        <f t="shared" si="55"/>
        <v/>
      </c>
      <c r="H1180" s="54" t="str">
        <f t="shared" si="56"/>
        <v/>
      </c>
    </row>
    <row r="1181" spans="5:8" x14ac:dyDescent="0.25">
      <c r="E1181" s="54" t="str">
        <f>IF(A1181="","",SUMIF('Daftar Transaksi'!D:D,A1181,'Daftar Transaksi'!F:F))</f>
        <v/>
      </c>
      <c r="F1181" s="54" t="str">
        <f t="shared" si="54"/>
        <v/>
      </c>
      <c r="G1181" s="54" t="str">
        <f t="shared" si="55"/>
        <v/>
      </c>
      <c r="H1181" s="54" t="str">
        <f t="shared" si="56"/>
        <v/>
      </c>
    </row>
    <row r="1182" spans="5:8" x14ac:dyDescent="0.25">
      <c r="E1182" s="54" t="str">
        <f>IF(A1182="","",SUMIF('Daftar Transaksi'!D:D,A1182,'Daftar Transaksi'!F:F))</f>
        <v/>
      </c>
      <c r="F1182" s="54" t="str">
        <f t="shared" si="54"/>
        <v/>
      </c>
      <c r="G1182" s="54" t="str">
        <f t="shared" si="55"/>
        <v/>
      </c>
      <c r="H1182" s="54" t="str">
        <f t="shared" si="56"/>
        <v/>
      </c>
    </row>
    <row r="1183" spans="5:8" x14ac:dyDescent="0.25">
      <c r="E1183" s="54" t="str">
        <f>IF(A1183="","",SUMIF('Daftar Transaksi'!D:D,A1183,'Daftar Transaksi'!F:F))</f>
        <v/>
      </c>
      <c r="F1183" s="54" t="str">
        <f t="shared" si="54"/>
        <v/>
      </c>
      <c r="G1183" s="54" t="str">
        <f t="shared" si="55"/>
        <v/>
      </c>
      <c r="H1183" s="54" t="str">
        <f t="shared" si="56"/>
        <v/>
      </c>
    </row>
    <row r="1184" spans="5:8" x14ac:dyDescent="0.25">
      <c r="E1184" s="54" t="str">
        <f>IF(A1184="","",SUMIF('Daftar Transaksi'!D:D,A1184,'Daftar Transaksi'!F:F))</f>
        <v/>
      </c>
      <c r="F1184" s="54" t="str">
        <f t="shared" si="54"/>
        <v/>
      </c>
      <c r="G1184" s="54" t="str">
        <f t="shared" si="55"/>
        <v/>
      </c>
      <c r="H1184" s="54" t="str">
        <f t="shared" si="56"/>
        <v/>
      </c>
    </row>
    <row r="1185" spans="5:8" x14ac:dyDescent="0.25">
      <c r="E1185" s="54" t="str">
        <f>IF(A1185="","",SUMIF('Daftar Transaksi'!D:D,A1185,'Daftar Transaksi'!F:F))</f>
        <v/>
      </c>
      <c r="F1185" s="54" t="str">
        <f t="shared" si="54"/>
        <v/>
      </c>
      <c r="G1185" s="54" t="str">
        <f t="shared" si="55"/>
        <v/>
      </c>
      <c r="H1185" s="54" t="str">
        <f t="shared" si="56"/>
        <v/>
      </c>
    </row>
    <row r="1186" spans="5:8" x14ac:dyDescent="0.25">
      <c r="E1186" s="54" t="str">
        <f>IF(A1186="","",SUMIF('Daftar Transaksi'!D:D,A1186,'Daftar Transaksi'!F:F))</f>
        <v/>
      </c>
      <c r="F1186" s="54" t="str">
        <f t="shared" si="54"/>
        <v/>
      </c>
      <c r="G1186" s="54" t="str">
        <f t="shared" si="55"/>
        <v/>
      </c>
      <c r="H1186" s="54" t="str">
        <f t="shared" si="56"/>
        <v/>
      </c>
    </row>
    <row r="1187" spans="5:8" x14ac:dyDescent="0.25">
      <c r="E1187" s="54" t="str">
        <f>IF(A1187="","",SUMIF('Daftar Transaksi'!D:D,A1187,'Daftar Transaksi'!F:F))</f>
        <v/>
      </c>
      <c r="F1187" s="54" t="str">
        <f t="shared" si="54"/>
        <v/>
      </c>
      <c r="G1187" s="54" t="str">
        <f t="shared" si="55"/>
        <v/>
      </c>
      <c r="H1187" s="54" t="str">
        <f t="shared" si="56"/>
        <v/>
      </c>
    </row>
    <row r="1188" spans="5:8" x14ac:dyDescent="0.25">
      <c r="E1188" s="54" t="str">
        <f>IF(A1188="","",SUMIF('Daftar Transaksi'!D:D,A1188,'Daftar Transaksi'!F:F))</f>
        <v/>
      </c>
      <c r="F1188" s="54" t="str">
        <f t="shared" si="54"/>
        <v/>
      </c>
      <c r="G1188" s="54" t="str">
        <f t="shared" si="55"/>
        <v/>
      </c>
      <c r="H1188" s="54" t="str">
        <f t="shared" si="56"/>
        <v/>
      </c>
    </row>
    <row r="1189" spans="5:8" x14ac:dyDescent="0.25">
      <c r="E1189" s="54" t="str">
        <f>IF(A1189="","",SUMIF('Daftar Transaksi'!D:D,A1189,'Daftar Transaksi'!F:F))</f>
        <v/>
      </c>
      <c r="F1189" s="54" t="str">
        <f t="shared" si="54"/>
        <v/>
      </c>
      <c r="G1189" s="54" t="str">
        <f t="shared" si="55"/>
        <v/>
      </c>
      <c r="H1189" s="54" t="str">
        <f t="shared" si="56"/>
        <v/>
      </c>
    </row>
    <row r="1190" spans="5:8" x14ac:dyDescent="0.25">
      <c r="E1190" s="54" t="str">
        <f>IF(A1190="","",SUMIF('Daftar Transaksi'!D:D,A1190,'Daftar Transaksi'!F:F))</f>
        <v/>
      </c>
      <c r="F1190" s="54" t="str">
        <f t="shared" si="54"/>
        <v/>
      </c>
      <c r="G1190" s="54" t="str">
        <f t="shared" si="55"/>
        <v/>
      </c>
      <c r="H1190" s="54" t="str">
        <f t="shared" si="56"/>
        <v/>
      </c>
    </row>
    <row r="1191" spans="5:8" x14ac:dyDescent="0.25">
      <c r="E1191" s="54" t="str">
        <f>IF(A1191="","",SUMIF('Daftar Transaksi'!D:D,A1191,'Daftar Transaksi'!F:F))</f>
        <v/>
      </c>
      <c r="F1191" s="54" t="str">
        <f t="shared" si="54"/>
        <v/>
      </c>
      <c r="G1191" s="54" t="str">
        <f t="shared" si="55"/>
        <v/>
      </c>
      <c r="H1191" s="54" t="str">
        <f t="shared" si="56"/>
        <v/>
      </c>
    </row>
    <row r="1192" spans="5:8" x14ac:dyDescent="0.25">
      <c r="E1192" s="54" t="str">
        <f>IF(A1192="","",SUMIF('Daftar Transaksi'!D:D,A1192,'Daftar Transaksi'!F:F))</f>
        <v/>
      </c>
      <c r="F1192" s="54" t="str">
        <f t="shared" si="54"/>
        <v/>
      </c>
      <c r="G1192" s="54" t="str">
        <f t="shared" si="55"/>
        <v/>
      </c>
      <c r="H1192" s="54" t="str">
        <f t="shared" si="56"/>
        <v/>
      </c>
    </row>
    <row r="1193" spans="5:8" x14ac:dyDescent="0.25">
      <c r="E1193" s="54" t="str">
        <f>IF(A1193="","",SUMIF('Daftar Transaksi'!D:D,A1193,'Daftar Transaksi'!F:F))</f>
        <v/>
      </c>
      <c r="F1193" s="54" t="str">
        <f t="shared" si="54"/>
        <v/>
      </c>
      <c r="G1193" s="54" t="str">
        <f t="shared" si="55"/>
        <v/>
      </c>
      <c r="H1193" s="54" t="str">
        <f t="shared" si="56"/>
        <v/>
      </c>
    </row>
    <row r="1194" spans="5:8" x14ac:dyDescent="0.25">
      <c r="E1194" s="54" t="str">
        <f>IF(A1194="","",SUMIF('Daftar Transaksi'!D:D,A1194,'Daftar Transaksi'!F:F))</f>
        <v/>
      </c>
      <c r="F1194" s="54" t="str">
        <f t="shared" si="54"/>
        <v/>
      </c>
      <c r="G1194" s="54" t="str">
        <f t="shared" si="55"/>
        <v/>
      </c>
      <c r="H1194" s="54" t="str">
        <f t="shared" si="56"/>
        <v/>
      </c>
    </row>
    <row r="1195" spans="5:8" x14ac:dyDescent="0.25">
      <c r="E1195" s="54" t="str">
        <f>IF(A1195="","",SUMIF('Daftar Transaksi'!D:D,A1195,'Daftar Transaksi'!F:F))</f>
        <v/>
      </c>
      <c r="F1195" s="54" t="str">
        <f t="shared" si="54"/>
        <v/>
      </c>
      <c r="G1195" s="54" t="str">
        <f t="shared" si="55"/>
        <v/>
      </c>
      <c r="H1195" s="54" t="str">
        <f t="shared" si="56"/>
        <v/>
      </c>
    </row>
    <row r="1196" spans="5:8" x14ac:dyDescent="0.25">
      <c r="E1196" s="54" t="str">
        <f>IF(A1196="","",SUMIF('Daftar Transaksi'!D:D,A1196,'Daftar Transaksi'!F:F))</f>
        <v/>
      </c>
      <c r="F1196" s="54" t="str">
        <f t="shared" si="54"/>
        <v/>
      </c>
      <c r="G1196" s="54" t="str">
        <f t="shared" si="55"/>
        <v/>
      </c>
      <c r="H1196" s="54" t="str">
        <f t="shared" si="56"/>
        <v/>
      </c>
    </row>
    <row r="1197" spans="5:8" x14ac:dyDescent="0.25">
      <c r="E1197" s="54" t="str">
        <f>IF(A1197="","",SUMIF('Daftar Transaksi'!D:D,A1197,'Daftar Transaksi'!F:F))</f>
        <v/>
      </c>
      <c r="F1197" s="54" t="str">
        <f t="shared" si="54"/>
        <v/>
      </c>
      <c r="G1197" s="54" t="str">
        <f t="shared" si="55"/>
        <v/>
      </c>
      <c r="H1197" s="54" t="str">
        <f t="shared" si="56"/>
        <v/>
      </c>
    </row>
    <row r="1198" spans="5:8" x14ac:dyDescent="0.25">
      <c r="E1198" s="54" t="str">
        <f>IF(A1198="","",SUMIF('Daftar Transaksi'!D:D,A1198,'Daftar Transaksi'!F:F))</f>
        <v/>
      </c>
      <c r="F1198" s="54" t="str">
        <f t="shared" si="54"/>
        <v/>
      </c>
      <c r="G1198" s="54" t="str">
        <f t="shared" si="55"/>
        <v/>
      </c>
      <c r="H1198" s="54" t="str">
        <f t="shared" si="56"/>
        <v/>
      </c>
    </row>
    <row r="1199" spans="5:8" x14ac:dyDescent="0.25">
      <c r="E1199" s="54" t="str">
        <f>IF(A1199="","",SUMIF('Daftar Transaksi'!D:D,A1199,'Daftar Transaksi'!F:F))</f>
        <v/>
      </c>
      <c r="F1199" s="54" t="str">
        <f t="shared" si="54"/>
        <v/>
      </c>
      <c r="G1199" s="54" t="str">
        <f t="shared" si="55"/>
        <v/>
      </c>
      <c r="H1199" s="54" t="str">
        <f t="shared" si="56"/>
        <v/>
      </c>
    </row>
    <row r="1200" spans="5:8" x14ac:dyDescent="0.25">
      <c r="E1200" s="54" t="str">
        <f>IF(A1200="","",SUMIF('Daftar Transaksi'!D:D,A1200,'Daftar Transaksi'!F:F))</f>
        <v/>
      </c>
      <c r="F1200" s="54" t="str">
        <f t="shared" si="54"/>
        <v/>
      </c>
      <c r="G1200" s="54" t="str">
        <f t="shared" si="55"/>
        <v/>
      </c>
      <c r="H1200" s="54" t="str">
        <f t="shared" si="56"/>
        <v/>
      </c>
    </row>
    <row r="1201" spans="5:8" x14ac:dyDescent="0.25">
      <c r="E1201" s="54" t="str">
        <f>IF(A1201="","",SUMIF('Daftar Transaksi'!D:D,A1201,'Daftar Transaksi'!F:F))</f>
        <v/>
      </c>
      <c r="F1201" s="54" t="str">
        <f t="shared" si="54"/>
        <v/>
      </c>
      <c r="G1201" s="54" t="str">
        <f t="shared" si="55"/>
        <v/>
      </c>
      <c r="H1201" s="54" t="str">
        <f t="shared" si="56"/>
        <v/>
      </c>
    </row>
    <row r="1202" spans="5:8" x14ac:dyDescent="0.25">
      <c r="E1202" s="54" t="str">
        <f>IF(A1202="","",SUMIF('Daftar Transaksi'!D:D,A1202,'Daftar Transaksi'!F:F))</f>
        <v/>
      </c>
      <c r="F1202" s="54" t="str">
        <f t="shared" si="54"/>
        <v/>
      </c>
      <c r="G1202" s="54" t="str">
        <f t="shared" si="55"/>
        <v/>
      </c>
      <c r="H1202" s="54" t="str">
        <f t="shared" si="56"/>
        <v/>
      </c>
    </row>
    <row r="1203" spans="5:8" x14ac:dyDescent="0.25">
      <c r="E1203" s="54" t="str">
        <f>IF(A1203="","",SUMIF('Daftar Transaksi'!D:D,A1203,'Daftar Transaksi'!F:F))</f>
        <v/>
      </c>
      <c r="F1203" s="54" t="str">
        <f t="shared" si="54"/>
        <v/>
      </c>
      <c r="G1203" s="54" t="str">
        <f t="shared" si="55"/>
        <v/>
      </c>
      <c r="H1203" s="54" t="str">
        <f t="shared" si="56"/>
        <v/>
      </c>
    </row>
    <row r="1204" spans="5:8" x14ac:dyDescent="0.25">
      <c r="E1204" s="54" t="str">
        <f>IF(A1204="","",SUMIF('Daftar Transaksi'!D:D,A1204,'Daftar Transaksi'!F:F))</f>
        <v/>
      </c>
      <c r="F1204" s="54" t="str">
        <f t="shared" si="54"/>
        <v/>
      </c>
      <c r="G1204" s="54" t="str">
        <f t="shared" si="55"/>
        <v/>
      </c>
      <c r="H1204" s="54" t="str">
        <f t="shared" si="56"/>
        <v/>
      </c>
    </row>
    <row r="1205" spans="5:8" x14ac:dyDescent="0.25">
      <c r="E1205" s="54" t="str">
        <f>IF(A1205="","",SUMIF('Daftar Transaksi'!D:D,A1205,'Daftar Transaksi'!F:F))</f>
        <v/>
      </c>
      <c r="F1205" s="54" t="str">
        <f t="shared" si="54"/>
        <v/>
      </c>
      <c r="G1205" s="54" t="str">
        <f t="shared" si="55"/>
        <v/>
      </c>
      <c r="H1205" s="54" t="str">
        <f t="shared" si="56"/>
        <v/>
      </c>
    </row>
    <row r="1206" spans="5:8" x14ac:dyDescent="0.25">
      <c r="E1206" s="54" t="str">
        <f>IF(A1206="","",SUMIF('Daftar Transaksi'!D:D,A1206,'Daftar Transaksi'!F:F))</f>
        <v/>
      </c>
      <c r="F1206" s="54" t="str">
        <f t="shared" si="54"/>
        <v/>
      </c>
      <c r="G1206" s="54" t="str">
        <f t="shared" si="55"/>
        <v/>
      </c>
      <c r="H1206" s="54" t="str">
        <f t="shared" si="56"/>
        <v/>
      </c>
    </row>
    <row r="1207" spans="5:8" x14ac:dyDescent="0.25">
      <c r="E1207" s="54" t="str">
        <f>IF(A1207="","",SUMIF('Daftar Transaksi'!D:D,A1207,'Daftar Transaksi'!F:F))</f>
        <v/>
      </c>
      <c r="F1207" s="54" t="str">
        <f t="shared" si="54"/>
        <v/>
      </c>
      <c r="G1207" s="54" t="str">
        <f t="shared" si="55"/>
        <v/>
      </c>
      <c r="H1207" s="54" t="str">
        <f t="shared" si="56"/>
        <v/>
      </c>
    </row>
    <row r="1208" spans="5:8" x14ac:dyDescent="0.25">
      <c r="E1208" s="54" t="str">
        <f>IF(A1208="","",SUMIF('Daftar Transaksi'!D:D,A1208,'Daftar Transaksi'!F:F))</f>
        <v/>
      </c>
      <c r="F1208" s="54" t="str">
        <f t="shared" si="54"/>
        <v/>
      </c>
      <c r="G1208" s="54" t="str">
        <f t="shared" si="55"/>
        <v/>
      </c>
      <c r="H1208" s="54" t="str">
        <f t="shared" si="56"/>
        <v/>
      </c>
    </row>
    <row r="1209" spans="5:8" x14ac:dyDescent="0.25">
      <c r="E1209" s="54" t="str">
        <f>IF(A1209="","",SUMIF('Daftar Transaksi'!D:D,A1209,'Daftar Transaksi'!F:F))</f>
        <v/>
      </c>
      <c r="F1209" s="54" t="str">
        <f t="shared" si="54"/>
        <v/>
      </c>
      <c r="G1209" s="54" t="str">
        <f t="shared" si="55"/>
        <v/>
      </c>
      <c r="H1209" s="54" t="str">
        <f t="shared" si="56"/>
        <v/>
      </c>
    </row>
    <row r="1210" spans="5:8" x14ac:dyDescent="0.25">
      <c r="E1210" s="54" t="str">
        <f>IF(A1210="","",SUMIF('Daftar Transaksi'!D:D,A1210,'Daftar Transaksi'!F:F))</f>
        <v/>
      </c>
      <c r="F1210" s="54" t="str">
        <f t="shared" si="54"/>
        <v/>
      </c>
      <c r="G1210" s="54" t="str">
        <f t="shared" si="55"/>
        <v/>
      </c>
      <c r="H1210" s="54" t="str">
        <f t="shared" si="56"/>
        <v/>
      </c>
    </row>
    <row r="1211" spans="5:8" x14ac:dyDescent="0.25">
      <c r="E1211" s="54" t="str">
        <f>IF(A1211="","",SUMIF('Daftar Transaksi'!D:D,A1211,'Daftar Transaksi'!F:F))</f>
        <v/>
      </c>
      <c r="F1211" s="54" t="str">
        <f t="shared" si="54"/>
        <v/>
      </c>
      <c r="G1211" s="54" t="str">
        <f t="shared" si="55"/>
        <v/>
      </c>
      <c r="H1211" s="54" t="str">
        <f t="shared" si="56"/>
        <v/>
      </c>
    </row>
    <row r="1212" spans="5:8" x14ac:dyDescent="0.25">
      <c r="E1212" s="54" t="str">
        <f>IF(A1212="","",SUMIF('Daftar Transaksi'!D:D,A1212,'Daftar Transaksi'!F:F))</f>
        <v/>
      </c>
      <c r="F1212" s="54" t="str">
        <f t="shared" si="54"/>
        <v/>
      </c>
      <c r="G1212" s="54" t="str">
        <f t="shared" si="55"/>
        <v/>
      </c>
      <c r="H1212" s="54" t="str">
        <f t="shared" si="56"/>
        <v/>
      </c>
    </row>
    <row r="1213" spans="5:8" x14ac:dyDescent="0.25">
      <c r="E1213" s="54" t="str">
        <f>IF(A1213="","",SUMIF('Daftar Transaksi'!D:D,A1213,'Daftar Transaksi'!F:F))</f>
        <v/>
      </c>
      <c r="F1213" s="54" t="str">
        <f t="shared" si="54"/>
        <v/>
      </c>
      <c r="G1213" s="54" t="str">
        <f t="shared" si="55"/>
        <v/>
      </c>
      <c r="H1213" s="54" t="str">
        <f t="shared" si="56"/>
        <v/>
      </c>
    </row>
    <row r="1214" spans="5:8" x14ac:dyDescent="0.25">
      <c r="E1214" s="54" t="str">
        <f>IF(A1214="","",SUMIF('Daftar Transaksi'!D:D,A1214,'Daftar Transaksi'!F:F))</f>
        <v/>
      </c>
      <c r="F1214" s="54" t="str">
        <f t="shared" si="54"/>
        <v/>
      </c>
      <c r="G1214" s="54" t="str">
        <f t="shared" si="55"/>
        <v/>
      </c>
      <c r="H1214" s="54" t="str">
        <f t="shared" si="56"/>
        <v/>
      </c>
    </row>
    <row r="1215" spans="5:8" x14ac:dyDescent="0.25">
      <c r="E1215" s="54" t="str">
        <f>IF(A1215="","",SUMIF('Daftar Transaksi'!D:D,A1215,'Daftar Transaksi'!F:F))</f>
        <v/>
      </c>
      <c r="F1215" s="54" t="str">
        <f t="shared" ref="F1215:F1278" si="57">IF(A1215="","",D1215-E1215)</f>
        <v/>
      </c>
      <c r="G1215" s="54" t="str">
        <f t="shared" ref="G1215:G1278" si="58">IF(A1215="","",C1215*E1215)</f>
        <v/>
      </c>
      <c r="H1215" s="54" t="str">
        <f t="shared" ref="H1215:H1278" si="59">IF(A1215="","",G1215-(B1215*E1215))</f>
        <v/>
      </c>
    </row>
    <row r="1216" spans="5:8" x14ac:dyDescent="0.25">
      <c r="E1216" s="54" t="str">
        <f>IF(A1216="","",SUMIF('Daftar Transaksi'!D:D,A1216,'Daftar Transaksi'!F:F))</f>
        <v/>
      </c>
      <c r="F1216" s="54" t="str">
        <f t="shared" si="57"/>
        <v/>
      </c>
      <c r="G1216" s="54" t="str">
        <f t="shared" si="58"/>
        <v/>
      </c>
      <c r="H1216" s="54" t="str">
        <f t="shared" si="59"/>
        <v/>
      </c>
    </row>
    <row r="1217" spans="5:8" x14ac:dyDescent="0.25">
      <c r="E1217" s="54" t="str">
        <f>IF(A1217="","",SUMIF('Daftar Transaksi'!D:D,A1217,'Daftar Transaksi'!F:F))</f>
        <v/>
      </c>
      <c r="F1217" s="54" t="str">
        <f t="shared" si="57"/>
        <v/>
      </c>
      <c r="G1217" s="54" t="str">
        <f t="shared" si="58"/>
        <v/>
      </c>
      <c r="H1217" s="54" t="str">
        <f t="shared" si="59"/>
        <v/>
      </c>
    </row>
    <row r="1218" spans="5:8" x14ac:dyDescent="0.25">
      <c r="E1218" s="54" t="str">
        <f>IF(A1218="","",SUMIF('Daftar Transaksi'!D:D,A1218,'Daftar Transaksi'!F:F))</f>
        <v/>
      </c>
      <c r="F1218" s="54" t="str">
        <f t="shared" si="57"/>
        <v/>
      </c>
      <c r="G1218" s="54" t="str">
        <f t="shared" si="58"/>
        <v/>
      </c>
      <c r="H1218" s="54" t="str">
        <f t="shared" si="59"/>
        <v/>
      </c>
    </row>
    <row r="1219" spans="5:8" x14ac:dyDescent="0.25">
      <c r="E1219" s="54" t="str">
        <f>IF(A1219="","",SUMIF('Daftar Transaksi'!D:D,A1219,'Daftar Transaksi'!F:F))</f>
        <v/>
      </c>
      <c r="F1219" s="54" t="str">
        <f t="shared" si="57"/>
        <v/>
      </c>
      <c r="G1219" s="54" t="str">
        <f t="shared" si="58"/>
        <v/>
      </c>
      <c r="H1219" s="54" t="str">
        <f t="shared" si="59"/>
        <v/>
      </c>
    </row>
    <row r="1220" spans="5:8" x14ac:dyDescent="0.25">
      <c r="E1220" s="54" t="str">
        <f>IF(A1220="","",SUMIF('Daftar Transaksi'!D:D,A1220,'Daftar Transaksi'!F:F))</f>
        <v/>
      </c>
      <c r="F1220" s="54" t="str">
        <f t="shared" si="57"/>
        <v/>
      </c>
      <c r="G1220" s="54" t="str">
        <f t="shared" si="58"/>
        <v/>
      </c>
      <c r="H1220" s="54" t="str">
        <f t="shared" si="59"/>
        <v/>
      </c>
    </row>
    <row r="1221" spans="5:8" x14ac:dyDescent="0.25">
      <c r="E1221" s="54" t="str">
        <f>IF(A1221="","",SUMIF('Daftar Transaksi'!D:D,A1221,'Daftar Transaksi'!F:F))</f>
        <v/>
      </c>
      <c r="F1221" s="54" t="str">
        <f t="shared" si="57"/>
        <v/>
      </c>
      <c r="G1221" s="54" t="str">
        <f t="shared" si="58"/>
        <v/>
      </c>
      <c r="H1221" s="54" t="str">
        <f t="shared" si="59"/>
        <v/>
      </c>
    </row>
    <row r="1222" spans="5:8" x14ac:dyDescent="0.25">
      <c r="E1222" s="54" t="str">
        <f>IF(A1222="","",SUMIF('Daftar Transaksi'!D:D,A1222,'Daftar Transaksi'!F:F))</f>
        <v/>
      </c>
      <c r="F1222" s="54" t="str">
        <f t="shared" si="57"/>
        <v/>
      </c>
      <c r="G1222" s="54" t="str">
        <f t="shared" si="58"/>
        <v/>
      </c>
      <c r="H1222" s="54" t="str">
        <f t="shared" si="59"/>
        <v/>
      </c>
    </row>
    <row r="1223" spans="5:8" x14ac:dyDescent="0.25">
      <c r="E1223" s="54" t="str">
        <f>IF(A1223="","",SUMIF('Daftar Transaksi'!D:D,A1223,'Daftar Transaksi'!F:F))</f>
        <v/>
      </c>
      <c r="F1223" s="54" t="str">
        <f t="shared" si="57"/>
        <v/>
      </c>
      <c r="G1223" s="54" t="str">
        <f t="shared" si="58"/>
        <v/>
      </c>
      <c r="H1223" s="54" t="str">
        <f t="shared" si="59"/>
        <v/>
      </c>
    </row>
    <row r="1224" spans="5:8" x14ac:dyDescent="0.25">
      <c r="E1224" s="54" t="str">
        <f>IF(A1224="","",SUMIF('Daftar Transaksi'!D:D,A1224,'Daftar Transaksi'!F:F))</f>
        <v/>
      </c>
      <c r="F1224" s="54" t="str">
        <f t="shared" si="57"/>
        <v/>
      </c>
      <c r="G1224" s="54" t="str">
        <f t="shared" si="58"/>
        <v/>
      </c>
      <c r="H1224" s="54" t="str">
        <f t="shared" si="59"/>
        <v/>
      </c>
    </row>
    <row r="1225" spans="5:8" x14ac:dyDescent="0.25">
      <c r="E1225" s="54" t="str">
        <f>IF(A1225="","",SUMIF('Daftar Transaksi'!D:D,A1225,'Daftar Transaksi'!F:F))</f>
        <v/>
      </c>
      <c r="F1225" s="54" t="str">
        <f t="shared" si="57"/>
        <v/>
      </c>
      <c r="G1225" s="54" t="str">
        <f t="shared" si="58"/>
        <v/>
      </c>
      <c r="H1225" s="54" t="str">
        <f t="shared" si="59"/>
        <v/>
      </c>
    </row>
    <row r="1226" spans="5:8" x14ac:dyDescent="0.25">
      <c r="E1226" s="54" t="str">
        <f>IF(A1226="","",SUMIF('Daftar Transaksi'!D:D,A1226,'Daftar Transaksi'!F:F))</f>
        <v/>
      </c>
      <c r="F1226" s="54" t="str">
        <f t="shared" si="57"/>
        <v/>
      </c>
      <c r="G1226" s="54" t="str">
        <f t="shared" si="58"/>
        <v/>
      </c>
      <c r="H1226" s="54" t="str">
        <f t="shared" si="59"/>
        <v/>
      </c>
    </row>
    <row r="1227" spans="5:8" x14ac:dyDescent="0.25">
      <c r="E1227" s="54" t="str">
        <f>IF(A1227="","",SUMIF('Daftar Transaksi'!D:D,A1227,'Daftar Transaksi'!F:F))</f>
        <v/>
      </c>
      <c r="F1227" s="54" t="str">
        <f t="shared" si="57"/>
        <v/>
      </c>
      <c r="G1227" s="54" t="str">
        <f t="shared" si="58"/>
        <v/>
      </c>
      <c r="H1227" s="54" t="str">
        <f t="shared" si="59"/>
        <v/>
      </c>
    </row>
    <row r="1228" spans="5:8" x14ac:dyDescent="0.25">
      <c r="E1228" s="54" t="str">
        <f>IF(A1228="","",SUMIF('Daftar Transaksi'!D:D,A1228,'Daftar Transaksi'!F:F))</f>
        <v/>
      </c>
      <c r="F1228" s="54" t="str">
        <f t="shared" si="57"/>
        <v/>
      </c>
      <c r="G1228" s="54" t="str">
        <f t="shared" si="58"/>
        <v/>
      </c>
      <c r="H1228" s="54" t="str">
        <f t="shared" si="59"/>
        <v/>
      </c>
    </row>
    <row r="1229" spans="5:8" x14ac:dyDescent="0.25">
      <c r="E1229" s="54" t="str">
        <f>IF(A1229="","",SUMIF('Daftar Transaksi'!D:D,A1229,'Daftar Transaksi'!F:F))</f>
        <v/>
      </c>
      <c r="F1229" s="54" t="str">
        <f t="shared" si="57"/>
        <v/>
      </c>
      <c r="G1229" s="54" t="str">
        <f t="shared" si="58"/>
        <v/>
      </c>
      <c r="H1229" s="54" t="str">
        <f t="shared" si="59"/>
        <v/>
      </c>
    </row>
    <row r="1230" spans="5:8" x14ac:dyDescent="0.25">
      <c r="E1230" s="54" t="str">
        <f>IF(A1230="","",SUMIF('Daftar Transaksi'!D:D,A1230,'Daftar Transaksi'!F:F))</f>
        <v/>
      </c>
      <c r="F1230" s="54" t="str">
        <f t="shared" si="57"/>
        <v/>
      </c>
      <c r="G1230" s="54" t="str">
        <f t="shared" si="58"/>
        <v/>
      </c>
      <c r="H1230" s="54" t="str">
        <f t="shared" si="59"/>
        <v/>
      </c>
    </row>
    <row r="1231" spans="5:8" x14ac:dyDescent="0.25">
      <c r="E1231" s="54" t="str">
        <f>IF(A1231="","",SUMIF('Daftar Transaksi'!D:D,A1231,'Daftar Transaksi'!F:F))</f>
        <v/>
      </c>
      <c r="F1231" s="54" t="str">
        <f t="shared" si="57"/>
        <v/>
      </c>
      <c r="G1231" s="54" t="str">
        <f t="shared" si="58"/>
        <v/>
      </c>
      <c r="H1231" s="54" t="str">
        <f t="shared" si="59"/>
        <v/>
      </c>
    </row>
    <row r="1232" spans="5:8" x14ac:dyDescent="0.25">
      <c r="E1232" s="54" t="str">
        <f>IF(A1232="","",SUMIF('Daftar Transaksi'!D:D,A1232,'Daftar Transaksi'!F:F))</f>
        <v/>
      </c>
      <c r="F1232" s="54" t="str">
        <f t="shared" si="57"/>
        <v/>
      </c>
      <c r="G1232" s="54" t="str">
        <f t="shared" si="58"/>
        <v/>
      </c>
      <c r="H1232" s="54" t="str">
        <f t="shared" si="59"/>
        <v/>
      </c>
    </row>
    <row r="1233" spans="5:8" x14ac:dyDescent="0.25">
      <c r="E1233" s="54" t="str">
        <f>IF(A1233="","",SUMIF('Daftar Transaksi'!D:D,A1233,'Daftar Transaksi'!F:F))</f>
        <v/>
      </c>
      <c r="F1233" s="54" t="str">
        <f t="shared" si="57"/>
        <v/>
      </c>
      <c r="G1233" s="54" t="str">
        <f t="shared" si="58"/>
        <v/>
      </c>
      <c r="H1233" s="54" t="str">
        <f t="shared" si="59"/>
        <v/>
      </c>
    </row>
    <row r="1234" spans="5:8" x14ac:dyDescent="0.25">
      <c r="E1234" s="54" t="str">
        <f>IF(A1234="","",SUMIF('Daftar Transaksi'!D:D,A1234,'Daftar Transaksi'!F:F))</f>
        <v/>
      </c>
      <c r="F1234" s="54" t="str">
        <f t="shared" si="57"/>
        <v/>
      </c>
      <c r="G1234" s="54" t="str">
        <f t="shared" si="58"/>
        <v/>
      </c>
      <c r="H1234" s="54" t="str">
        <f t="shared" si="59"/>
        <v/>
      </c>
    </row>
    <row r="1235" spans="5:8" x14ac:dyDescent="0.25">
      <c r="E1235" s="54" t="str">
        <f>IF(A1235="","",SUMIF('Daftar Transaksi'!D:D,A1235,'Daftar Transaksi'!F:F))</f>
        <v/>
      </c>
      <c r="F1235" s="54" t="str">
        <f t="shared" si="57"/>
        <v/>
      </c>
      <c r="G1235" s="54" t="str">
        <f t="shared" si="58"/>
        <v/>
      </c>
      <c r="H1235" s="54" t="str">
        <f t="shared" si="59"/>
        <v/>
      </c>
    </row>
    <row r="1236" spans="5:8" x14ac:dyDescent="0.25">
      <c r="E1236" s="54" t="str">
        <f>IF(A1236="","",SUMIF('Daftar Transaksi'!D:D,A1236,'Daftar Transaksi'!F:F))</f>
        <v/>
      </c>
      <c r="F1236" s="54" t="str">
        <f t="shared" si="57"/>
        <v/>
      </c>
      <c r="G1236" s="54" t="str">
        <f t="shared" si="58"/>
        <v/>
      </c>
      <c r="H1236" s="54" t="str">
        <f t="shared" si="59"/>
        <v/>
      </c>
    </row>
    <row r="1237" spans="5:8" x14ac:dyDescent="0.25">
      <c r="E1237" s="54" t="str">
        <f>IF(A1237="","",SUMIF('Daftar Transaksi'!D:D,A1237,'Daftar Transaksi'!F:F))</f>
        <v/>
      </c>
      <c r="F1237" s="54" t="str">
        <f t="shared" si="57"/>
        <v/>
      </c>
      <c r="G1237" s="54" t="str">
        <f t="shared" si="58"/>
        <v/>
      </c>
      <c r="H1237" s="54" t="str">
        <f t="shared" si="59"/>
        <v/>
      </c>
    </row>
    <row r="1238" spans="5:8" x14ac:dyDescent="0.25">
      <c r="E1238" s="54" t="str">
        <f>IF(A1238="","",SUMIF('Daftar Transaksi'!D:D,A1238,'Daftar Transaksi'!F:F))</f>
        <v/>
      </c>
      <c r="F1238" s="54" t="str">
        <f t="shared" si="57"/>
        <v/>
      </c>
      <c r="G1238" s="54" t="str">
        <f t="shared" si="58"/>
        <v/>
      </c>
      <c r="H1238" s="54" t="str">
        <f t="shared" si="59"/>
        <v/>
      </c>
    </row>
    <row r="1239" spans="5:8" x14ac:dyDescent="0.25">
      <c r="E1239" s="54" t="str">
        <f>IF(A1239="","",SUMIF('Daftar Transaksi'!D:D,A1239,'Daftar Transaksi'!F:F))</f>
        <v/>
      </c>
      <c r="F1239" s="54" t="str">
        <f t="shared" si="57"/>
        <v/>
      </c>
      <c r="G1239" s="54" t="str">
        <f t="shared" si="58"/>
        <v/>
      </c>
      <c r="H1239" s="54" t="str">
        <f t="shared" si="59"/>
        <v/>
      </c>
    </row>
    <row r="1240" spans="5:8" x14ac:dyDescent="0.25">
      <c r="E1240" s="54" t="str">
        <f>IF(A1240="","",SUMIF('Daftar Transaksi'!D:D,A1240,'Daftar Transaksi'!F:F))</f>
        <v/>
      </c>
      <c r="F1240" s="54" t="str">
        <f t="shared" si="57"/>
        <v/>
      </c>
      <c r="G1240" s="54" t="str">
        <f t="shared" si="58"/>
        <v/>
      </c>
      <c r="H1240" s="54" t="str">
        <f t="shared" si="59"/>
        <v/>
      </c>
    </row>
    <row r="1241" spans="5:8" x14ac:dyDescent="0.25">
      <c r="E1241" s="54" t="str">
        <f>IF(A1241="","",SUMIF('Daftar Transaksi'!D:D,A1241,'Daftar Transaksi'!F:F))</f>
        <v/>
      </c>
      <c r="F1241" s="54" t="str">
        <f t="shared" si="57"/>
        <v/>
      </c>
      <c r="G1241" s="54" t="str">
        <f t="shared" si="58"/>
        <v/>
      </c>
      <c r="H1241" s="54" t="str">
        <f t="shared" si="59"/>
        <v/>
      </c>
    </row>
    <row r="1242" spans="5:8" x14ac:dyDescent="0.25">
      <c r="E1242" s="54" t="str">
        <f>IF(A1242="","",SUMIF('Daftar Transaksi'!D:D,A1242,'Daftar Transaksi'!F:F))</f>
        <v/>
      </c>
      <c r="F1242" s="54" t="str">
        <f t="shared" si="57"/>
        <v/>
      </c>
      <c r="G1242" s="54" t="str">
        <f t="shared" si="58"/>
        <v/>
      </c>
      <c r="H1242" s="54" t="str">
        <f t="shared" si="59"/>
        <v/>
      </c>
    </row>
    <row r="1243" spans="5:8" x14ac:dyDescent="0.25">
      <c r="E1243" s="54" t="str">
        <f>IF(A1243="","",SUMIF('Daftar Transaksi'!D:D,A1243,'Daftar Transaksi'!F:F))</f>
        <v/>
      </c>
      <c r="F1243" s="54" t="str">
        <f t="shared" si="57"/>
        <v/>
      </c>
      <c r="G1243" s="54" t="str">
        <f t="shared" si="58"/>
        <v/>
      </c>
      <c r="H1243" s="54" t="str">
        <f t="shared" si="59"/>
        <v/>
      </c>
    </row>
    <row r="1244" spans="5:8" x14ac:dyDescent="0.25">
      <c r="E1244" s="54" t="str">
        <f>IF(A1244="","",SUMIF('Daftar Transaksi'!D:D,A1244,'Daftar Transaksi'!F:F))</f>
        <v/>
      </c>
      <c r="F1244" s="54" t="str">
        <f t="shared" si="57"/>
        <v/>
      </c>
      <c r="G1244" s="54" t="str">
        <f t="shared" si="58"/>
        <v/>
      </c>
      <c r="H1244" s="54" t="str">
        <f t="shared" si="59"/>
        <v/>
      </c>
    </row>
    <row r="1245" spans="5:8" x14ac:dyDescent="0.25">
      <c r="E1245" s="54" t="str">
        <f>IF(A1245="","",SUMIF('Daftar Transaksi'!D:D,A1245,'Daftar Transaksi'!F:F))</f>
        <v/>
      </c>
      <c r="F1245" s="54" t="str">
        <f t="shared" si="57"/>
        <v/>
      </c>
      <c r="G1245" s="54" t="str">
        <f t="shared" si="58"/>
        <v/>
      </c>
      <c r="H1245" s="54" t="str">
        <f t="shared" si="59"/>
        <v/>
      </c>
    </row>
    <row r="1246" spans="5:8" x14ac:dyDescent="0.25">
      <c r="E1246" s="54" t="str">
        <f>IF(A1246="","",SUMIF('Daftar Transaksi'!D:D,A1246,'Daftar Transaksi'!F:F))</f>
        <v/>
      </c>
      <c r="F1246" s="54" t="str">
        <f t="shared" si="57"/>
        <v/>
      </c>
      <c r="G1246" s="54" t="str">
        <f t="shared" si="58"/>
        <v/>
      </c>
      <c r="H1246" s="54" t="str">
        <f t="shared" si="59"/>
        <v/>
      </c>
    </row>
    <row r="1247" spans="5:8" x14ac:dyDescent="0.25">
      <c r="E1247" s="54" t="str">
        <f>IF(A1247="","",SUMIF('Daftar Transaksi'!D:D,A1247,'Daftar Transaksi'!F:F))</f>
        <v/>
      </c>
      <c r="F1247" s="54" t="str">
        <f t="shared" si="57"/>
        <v/>
      </c>
      <c r="G1247" s="54" t="str">
        <f t="shared" si="58"/>
        <v/>
      </c>
      <c r="H1247" s="54" t="str">
        <f t="shared" si="59"/>
        <v/>
      </c>
    </row>
    <row r="1248" spans="5:8" x14ac:dyDescent="0.25">
      <c r="E1248" s="54" t="str">
        <f>IF(A1248="","",SUMIF('Daftar Transaksi'!D:D,A1248,'Daftar Transaksi'!F:F))</f>
        <v/>
      </c>
      <c r="F1248" s="54" t="str">
        <f t="shared" si="57"/>
        <v/>
      </c>
      <c r="G1248" s="54" t="str">
        <f t="shared" si="58"/>
        <v/>
      </c>
      <c r="H1248" s="54" t="str">
        <f t="shared" si="59"/>
        <v/>
      </c>
    </row>
    <row r="1249" spans="5:8" x14ac:dyDescent="0.25">
      <c r="E1249" s="54" t="str">
        <f>IF(A1249="","",SUMIF('Daftar Transaksi'!D:D,A1249,'Daftar Transaksi'!F:F))</f>
        <v/>
      </c>
      <c r="F1249" s="54" t="str">
        <f t="shared" si="57"/>
        <v/>
      </c>
      <c r="G1249" s="54" t="str">
        <f t="shared" si="58"/>
        <v/>
      </c>
      <c r="H1249" s="54" t="str">
        <f t="shared" si="59"/>
        <v/>
      </c>
    </row>
    <row r="1250" spans="5:8" x14ac:dyDescent="0.25">
      <c r="E1250" s="54" t="str">
        <f>IF(A1250="","",SUMIF('Daftar Transaksi'!D:D,A1250,'Daftar Transaksi'!F:F))</f>
        <v/>
      </c>
      <c r="F1250" s="54" t="str">
        <f t="shared" si="57"/>
        <v/>
      </c>
      <c r="G1250" s="54" t="str">
        <f t="shared" si="58"/>
        <v/>
      </c>
      <c r="H1250" s="54" t="str">
        <f t="shared" si="59"/>
        <v/>
      </c>
    </row>
    <row r="1251" spans="5:8" x14ac:dyDescent="0.25">
      <c r="E1251" s="54" t="str">
        <f>IF(A1251="","",SUMIF('Daftar Transaksi'!D:D,A1251,'Daftar Transaksi'!F:F))</f>
        <v/>
      </c>
      <c r="F1251" s="54" t="str">
        <f t="shared" si="57"/>
        <v/>
      </c>
      <c r="G1251" s="54" t="str">
        <f t="shared" si="58"/>
        <v/>
      </c>
      <c r="H1251" s="54" t="str">
        <f t="shared" si="59"/>
        <v/>
      </c>
    </row>
    <row r="1252" spans="5:8" x14ac:dyDescent="0.25">
      <c r="E1252" s="54" t="str">
        <f>IF(A1252="","",SUMIF('Daftar Transaksi'!D:D,A1252,'Daftar Transaksi'!F:F))</f>
        <v/>
      </c>
      <c r="F1252" s="54" t="str">
        <f t="shared" si="57"/>
        <v/>
      </c>
      <c r="G1252" s="54" t="str">
        <f t="shared" si="58"/>
        <v/>
      </c>
      <c r="H1252" s="54" t="str">
        <f t="shared" si="59"/>
        <v/>
      </c>
    </row>
    <row r="1253" spans="5:8" x14ac:dyDescent="0.25">
      <c r="E1253" s="54" t="str">
        <f>IF(A1253="","",SUMIF('Daftar Transaksi'!D:D,A1253,'Daftar Transaksi'!F:F))</f>
        <v/>
      </c>
      <c r="F1253" s="54" t="str">
        <f t="shared" si="57"/>
        <v/>
      </c>
      <c r="G1253" s="54" t="str">
        <f t="shared" si="58"/>
        <v/>
      </c>
      <c r="H1253" s="54" t="str">
        <f t="shared" si="59"/>
        <v/>
      </c>
    </row>
    <row r="1254" spans="5:8" x14ac:dyDescent="0.25">
      <c r="E1254" s="54" t="str">
        <f>IF(A1254="","",SUMIF('Daftar Transaksi'!D:D,A1254,'Daftar Transaksi'!F:F))</f>
        <v/>
      </c>
      <c r="F1254" s="54" t="str">
        <f t="shared" si="57"/>
        <v/>
      </c>
      <c r="G1254" s="54" t="str">
        <f t="shared" si="58"/>
        <v/>
      </c>
      <c r="H1254" s="54" t="str">
        <f t="shared" si="59"/>
        <v/>
      </c>
    </row>
    <row r="1255" spans="5:8" x14ac:dyDescent="0.25">
      <c r="E1255" s="54" t="str">
        <f>IF(A1255="","",SUMIF('Daftar Transaksi'!D:D,A1255,'Daftar Transaksi'!F:F))</f>
        <v/>
      </c>
      <c r="F1255" s="54" t="str">
        <f t="shared" si="57"/>
        <v/>
      </c>
      <c r="G1255" s="54" t="str">
        <f t="shared" si="58"/>
        <v/>
      </c>
      <c r="H1255" s="54" t="str">
        <f t="shared" si="59"/>
        <v/>
      </c>
    </row>
    <row r="1256" spans="5:8" x14ac:dyDescent="0.25">
      <c r="E1256" s="54" t="str">
        <f>IF(A1256="","",SUMIF('Daftar Transaksi'!D:D,A1256,'Daftar Transaksi'!F:F))</f>
        <v/>
      </c>
      <c r="F1256" s="54" t="str">
        <f t="shared" si="57"/>
        <v/>
      </c>
      <c r="G1256" s="54" t="str">
        <f t="shared" si="58"/>
        <v/>
      </c>
      <c r="H1256" s="54" t="str">
        <f t="shared" si="59"/>
        <v/>
      </c>
    </row>
    <row r="1257" spans="5:8" x14ac:dyDescent="0.25">
      <c r="E1257" s="54" t="str">
        <f>IF(A1257="","",SUMIF('Daftar Transaksi'!D:D,A1257,'Daftar Transaksi'!F:F))</f>
        <v/>
      </c>
      <c r="F1257" s="54" t="str">
        <f t="shared" si="57"/>
        <v/>
      </c>
      <c r="G1257" s="54" t="str">
        <f t="shared" si="58"/>
        <v/>
      </c>
      <c r="H1257" s="54" t="str">
        <f t="shared" si="59"/>
        <v/>
      </c>
    </row>
    <row r="1258" spans="5:8" x14ac:dyDescent="0.25">
      <c r="E1258" s="54" t="str">
        <f>IF(A1258="","",SUMIF('Daftar Transaksi'!D:D,A1258,'Daftar Transaksi'!F:F))</f>
        <v/>
      </c>
      <c r="F1258" s="54" t="str">
        <f t="shared" si="57"/>
        <v/>
      </c>
      <c r="G1258" s="54" t="str">
        <f t="shared" si="58"/>
        <v/>
      </c>
      <c r="H1258" s="54" t="str">
        <f t="shared" si="59"/>
        <v/>
      </c>
    </row>
    <row r="1259" spans="5:8" x14ac:dyDescent="0.25">
      <c r="E1259" s="54" t="str">
        <f>IF(A1259="","",SUMIF('Daftar Transaksi'!D:D,A1259,'Daftar Transaksi'!F:F))</f>
        <v/>
      </c>
      <c r="F1259" s="54" t="str">
        <f t="shared" si="57"/>
        <v/>
      </c>
      <c r="G1259" s="54" t="str">
        <f t="shared" si="58"/>
        <v/>
      </c>
      <c r="H1259" s="54" t="str">
        <f t="shared" si="59"/>
        <v/>
      </c>
    </row>
    <row r="1260" spans="5:8" x14ac:dyDescent="0.25">
      <c r="E1260" s="54" t="str">
        <f>IF(A1260="","",SUMIF('Daftar Transaksi'!D:D,A1260,'Daftar Transaksi'!F:F))</f>
        <v/>
      </c>
      <c r="F1260" s="54" t="str">
        <f t="shared" si="57"/>
        <v/>
      </c>
      <c r="G1260" s="54" t="str">
        <f t="shared" si="58"/>
        <v/>
      </c>
      <c r="H1260" s="54" t="str">
        <f t="shared" si="59"/>
        <v/>
      </c>
    </row>
    <row r="1261" spans="5:8" x14ac:dyDescent="0.25">
      <c r="E1261" s="54" t="str">
        <f>IF(A1261="","",SUMIF('Daftar Transaksi'!D:D,A1261,'Daftar Transaksi'!F:F))</f>
        <v/>
      </c>
      <c r="F1261" s="54" t="str">
        <f t="shared" si="57"/>
        <v/>
      </c>
      <c r="G1261" s="54" t="str">
        <f t="shared" si="58"/>
        <v/>
      </c>
      <c r="H1261" s="54" t="str">
        <f t="shared" si="59"/>
        <v/>
      </c>
    </row>
    <row r="1262" spans="5:8" x14ac:dyDescent="0.25">
      <c r="E1262" s="54" t="str">
        <f>IF(A1262="","",SUMIF('Daftar Transaksi'!D:D,A1262,'Daftar Transaksi'!F:F))</f>
        <v/>
      </c>
      <c r="F1262" s="54" t="str">
        <f t="shared" si="57"/>
        <v/>
      </c>
      <c r="G1262" s="54" t="str">
        <f t="shared" si="58"/>
        <v/>
      </c>
      <c r="H1262" s="54" t="str">
        <f t="shared" si="59"/>
        <v/>
      </c>
    </row>
    <row r="1263" spans="5:8" x14ac:dyDescent="0.25">
      <c r="E1263" s="54" t="str">
        <f>IF(A1263="","",SUMIF('Daftar Transaksi'!D:D,A1263,'Daftar Transaksi'!F:F))</f>
        <v/>
      </c>
      <c r="F1263" s="54" t="str">
        <f t="shared" si="57"/>
        <v/>
      </c>
      <c r="G1263" s="54" t="str">
        <f t="shared" si="58"/>
        <v/>
      </c>
      <c r="H1263" s="54" t="str">
        <f t="shared" si="59"/>
        <v/>
      </c>
    </row>
    <row r="1264" spans="5:8" x14ac:dyDescent="0.25">
      <c r="E1264" s="54" t="str">
        <f>IF(A1264="","",SUMIF('Daftar Transaksi'!D:D,A1264,'Daftar Transaksi'!F:F))</f>
        <v/>
      </c>
      <c r="F1264" s="54" t="str">
        <f t="shared" si="57"/>
        <v/>
      </c>
      <c r="G1264" s="54" t="str">
        <f t="shared" si="58"/>
        <v/>
      </c>
      <c r="H1264" s="54" t="str">
        <f t="shared" si="59"/>
        <v/>
      </c>
    </row>
    <row r="1265" spans="5:8" x14ac:dyDescent="0.25">
      <c r="E1265" s="54" t="str">
        <f>IF(A1265="","",SUMIF('Daftar Transaksi'!D:D,A1265,'Daftar Transaksi'!F:F))</f>
        <v/>
      </c>
      <c r="F1265" s="54" t="str">
        <f t="shared" si="57"/>
        <v/>
      </c>
      <c r="G1265" s="54" t="str">
        <f t="shared" si="58"/>
        <v/>
      </c>
      <c r="H1265" s="54" t="str">
        <f t="shared" si="59"/>
        <v/>
      </c>
    </row>
    <row r="1266" spans="5:8" x14ac:dyDescent="0.25">
      <c r="E1266" s="54" t="str">
        <f>IF(A1266="","",SUMIF('Daftar Transaksi'!D:D,A1266,'Daftar Transaksi'!F:F))</f>
        <v/>
      </c>
      <c r="F1266" s="54" t="str">
        <f t="shared" si="57"/>
        <v/>
      </c>
      <c r="G1266" s="54" t="str">
        <f t="shared" si="58"/>
        <v/>
      </c>
      <c r="H1266" s="54" t="str">
        <f t="shared" si="59"/>
        <v/>
      </c>
    </row>
    <row r="1267" spans="5:8" x14ac:dyDescent="0.25">
      <c r="E1267" s="54" t="str">
        <f>IF(A1267="","",SUMIF('Daftar Transaksi'!D:D,A1267,'Daftar Transaksi'!F:F))</f>
        <v/>
      </c>
      <c r="F1267" s="54" t="str">
        <f t="shared" si="57"/>
        <v/>
      </c>
      <c r="G1267" s="54" t="str">
        <f t="shared" si="58"/>
        <v/>
      </c>
      <c r="H1267" s="54" t="str">
        <f t="shared" si="59"/>
        <v/>
      </c>
    </row>
    <row r="1268" spans="5:8" x14ac:dyDescent="0.25">
      <c r="E1268" s="54" t="str">
        <f>IF(A1268="","",SUMIF('Daftar Transaksi'!D:D,A1268,'Daftar Transaksi'!F:F))</f>
        <v/>
      </c>
      <c r="F1268" s="54" t="str">
        <f t="shared" si="57"/>
        <v/>
      </c>
      <c r="G1268" s="54" t="str">
        <f t="shared" si="58"/>
        <v/>
      </c>
      <c r="H1268" s="54" t="str">
        <f t="shared" si="59"/>
        <v/>
      </c>
    </row>
    <row r="1269" spans="5:8" x14ac:dyDescent="0.25">
      <c r="E1269" s="54" t="str">
        <f>IF(A1269="","",SUMIF('Daftar Transaksi'!D:D,A1269,'Daftar Transaksi'!F:F))</f>
        <v/>
      </c>
      <c r="F1269" s="54" t="str">
        <f t="shared" si="57"/>
        <v/>
      </c>
      <c r="G1269" s="54" t="str">
        <f t="shared" si="58"/>
        <v/>
      </c>
      <c r="H1269" s="54" t="str">
        <f t="shared" si="59"/>
        <v/>
      </c>
    </row>
    <row r="1270" spans="5:8" x14ac:dyDescent="0.25">
      <c r="E1270" s="54" t="str">
        <f>IF(A1270="","",SUMIF('Daftar Transaksi'!D:D,A1270,'Daftar Transaksi'!F:F))</f>
        <v/>
      </c>
      <c r="F1270" s="54" t="str">
        <f t="shared" si="57"/>
        <v/>
      </c>
      <c r="G1270" s="54" t="str">
        <f t="shared" si="58"/>
        <v/>
      </c>
      <c r="H1270" s="54" t="str">
        <f t="shared" si="59"/>
        <v/>
      </c>
    </row>
    <row r="1271" spans="5:8" x14ac:dyDescent="0.25">
      <c r="E1271" s="54" t="str">
        <f>IF(A1271="","",SUMIF('Daftar Transaksi'!D:D,A1271,'Daftar Transaksi'!F:F))</f>
        <v/>
      </c>
      <c r="F1271" s="54" t="str">
        <f t="shared" si="57"/>
        <v/>
      </c>
      <c r="G1271" s="54" t="str">
        <f t="shared" si="58"/>
        <v/>
      </c>
      <c r="H1271" s="54" t="str">
        <f t="shared" si="59"/>
        <v/>
      </c>
    </row>
    <row r="1272" spans="5:8" x14ac:dyDescent="0.25">
      <c r="E1272" s="54" t="str">
        <f>IF(A1272="","",SUMIF('Daftar Transaksi'!D:D,A1272,'Daftar Transaksi'!F:F))</f>
        <v/>
      </c>
      <c r="F1272" s="54" t="str">
        <f t="shared" si="57"/>
        <v/>
      </c>
      <c r="G1272" s="54" t="str">
        <f t="shared" si="58"/>
        <v/>
      </c>
      <c r="H1272" s="54" t="str">
        <f t="shared" si="59"/>
        <v/>
      </c>
    </row>
    <row r="1273" spans="5:8" x14ac:dyDescent="0.25">
      <c r="E1273" s="54" t="str">
        <f>IF(A1273="","",SUMIF('Daftar Transaksi'!D:D,A1273,'Daftar Transaksi'!F:F))</f>
        <v/>
      </c>
      <c r="F1273" s="54" t="str">
        <f t="shared" si="57"/>
        <v/>
      </c>
      <c r="G1273" s="54" t="str">
        <f t="shared" si="58"/>
        <v/>
      </c>
      <c r="H1273" s="54" t="str">
        <f t="shared" si="59"/>
        <v/>
      </c>
    </row>
    <row r="1274" spans="5:8" x14ac:dyDescent="0.25">
      <c r="E1274" s="54" t="str">
        <f>IF(A1274="","",SUMIF('Daftar Transaksi'!D:D,A1274,'Daftar Transaksi'!F:F))</f>
        <v/>
      </c>
      <c r="F1274" s="54" t="str">
        <f t="shared" si="57"/>
        <v/>
      </c>
      <c r="G1274" s="54" t="str">
        <f t="shared" si="58"/>
        <v/>
      </c>
      <c r="H1274" s="54" t="str">
        <f t="shared" si="59"/>
        <v/>
      </c>
    </row>
    <row r="1275" spans="5:8" x14ac:dyDescent="0.25">
      <c r="E1275" s="54" t="str">
        <f>IF(A1275="","",SUMIF('Daftar Transaksi'!D:D,A1275,'Daftar Transaksi'!F:F))</f>
        <v/>
      </c>
      <c r="F1275" s="54" t="str">
        <f t="shared" si="57"/>
        <v/>
      </c>
      <c r="G1275" s="54" t="str">
        <f t="shared" si="58"/>
        <v/>
      </c>
      <c r="H1275" s="54" t="str">
        <f t="shared" si="59"/>
        <v/>
      </c>
    </row>
    <row r="1276" spans="5:8" x14ac:dyDescent="0.25">
      <c r="E1276" s="54" t="str">
        <f>IF(A1276="","",SUMIF('Daftar Transaksi'!D:D,A1276,'Daftar Transaksi'!F:F))</f>
        <v/>
      </c>
      <c r="F1276" s="54" t="str">
        <f t="shared" si="57"/>
        <v/>
      </c>
      <c r="G1276" s="54" t="str">
        <f t="shared" si="58"/>
        <v/>
      </c>
      <c r="H1276" s="54" t="str">
        <f t="shared" si="59"/>
        <v/>
      </c>
    </row>
    <row r="1277" spans="5:8" x14ac:dyDescent="0.25">
      <c r="E1277" s="54" t="str">
        <f>IF(A1277="","",SUMIF('Daftar Transaksi'!D:D,A1277,'Daftar Transaksi'!F:F))</f>
        <v/>
      </c>
      <c r="F1277" s="54" t="str">
        <f t="shared" si="57"/>
        <v/>
      </c>
      <c r="G1277" s="54" t="str">
        <f t="shared" si="58"/>
        <v/>
      </c>
      <c r="H1277" s="54" t="str">
        <f t="shared" si="59"/>
        <v/>
      </c>
    </row>
    <row r="1278" spans="5:8" x14ac:dyDescent="0.25">
      <c r="E1278" s="54" t="str">
        <f>IF(A1278="","",SUMIF('Daftar Transaksi'!D:D,A1278,'Daftar Transaksi'!F:F))</f>
        <v/>
      </c>
      <c r="F1278" s="54" t="str">
        <f t="shared" si="57"/>
        <v/>
      </c>
      <c r="G1278" s="54" t="str">
        <f t="shared" si="58"/>
        <v/>
      </c>
      <c r="H1278" s="54" t="str">
        <f t="shared" si="59"/>
        <v/>
      </c>
    </row>
    <row r="1279" spans="5:8" x14ac:dyDescent="0.25">
      <c r="E1279" s="54" t="str">
        <f>IF(A1279="","",SUMIF('Daftar Transaksi'!D:D,A1279,'Daftar Transaksi'!F:F))</f>
        <v/>
      </c>
      <c r="F1279" s="54" t="str">
        <f t="shared" ref="F1279:F1342" si="60">IF(A1279="","",D1279-E1279)</f>
        <v/>
      </c>
      <c r="G1279" s="54" t="str">
        <f t="shared" ref="G1279:G1342" si="61">IF(A1279="","",C1279*E1279)</f>
        <v/>
      </c>
      <c r="H1279" s="54" t="str">
        <f t="shared" ref="H1279:H1342" si="62">IF(A1279="","",G1279-(B1279*E1279))</f>
        <v/>
      </c>
    </row>
    <row r="1280" spans="5:8" x14ac:dyDescent="0.25">
      <c r="E1280" s="54" t="str">
        <f>IF(A1280="","",SUMIF('Daftar Transaksi'!D:D,A1280,'Daftar Transaksi'!F:F))</f>
        <v/>
      </c>
      <c r="F1280" s="54" t="str">
        <f t="shared" si="60"/>
        <v/>
      </c>
      <c r="G1280" s="54" t="str">
        <f t="shared" si="61"/>
        <v/>
      </c>
      <c r="H1280" s="54" t="str">
        <f t="shared" si="62"/>
        <v/>
      </c>
    </row>
    <row r="1281" spans="5:8" x14ac:dyDescent="0.25">
      <c r="E1281" s="54" t="str">
        <f>IF(A1281="","",SUMIF('Daftar Transaksi'!D:D,A1281,'Daftar Transaksi'!F:F))</f>
        <v/>
      </c>
      <c r="F1281" s="54" t="str">
        <f t="shared" si="60"/>
        <v/>
      </c>
      <c r="G1281" s="54" t="str">
        <f t="shared" si="61"/>
        <v/>
      </c>
      <c r="H1281" s="54" t="str">
        <f t="shared" si="62"/>
        <v/>
      </c>
    </row>
    <row r="1282" spans="5:8" x14ac:dyDescent="0.25">
      <c r="E1282" s="54" t="str">
        <f>IF(A1282="","",SUMIF('Daftar Transaksi'!D:D,A1282,'Daftar Transaksi'!F:F))</f>
        <v/>
      </c>
      <c r="F1282" s="54" t="str">
        <f t="shared" si="60"/>
        <v/>
      </c>
      <c r="G1282" s="54" t="str">
        <f t="shared" si="61"/>
        <v/>
      </c>
      <c r="H1282" s="54" t="str">
        <f t="shared" si="62"/>
        <v/>
      </c>
    </row>
    <row r="1283" spans="5:8" x14ac:dyDescent="0.25">
      <c r="E1283" s="54" t="str">
        <f>IF(A1283="","",SUMIF('Daftar Transaksi'!D:D,A1283,'Daftar Transaksi'!F:F))</f>
        <v/>
      </c>
      <c r="F1283" s="54" t="str">
        <f t="shared" si="60"/>
        <v/>
      </c>
      <c r="G1283" s="54" t="str">
        <f t="shared" si="61"/>
        <v/>
      </c>
      <c r="H1283" s="54" t="str">
        <f t="shared" si="62"/>
        <v/>
      </c>
    </row>
    <row r="1284" spans="5:8" x14ac:dyDescent="0.25">
      <c r="E1284" s="54" t="str">
        <f>IF(A1284="","",SUMIF('Daftar Transaksi'!D:D,A1284,'Daftar Transaksi'!F:F))</f>
        <v/>
      </c>
      <c r="F1284" s="54" t="str">
        <f t="shared" si="60"/>
        <v/>
      </c>
      <c r="G1284" s="54" t="str">
        <f t="shared" si="61"/>
        <v/>
      </c>
      <c r="H1284" s="54" t="str">
        <f t="shared" si="62"/>
        <v/>
      </c>
    </row>
    <row r="1285" spans="5:8" x14ac:dyDescent="0.25">
      <c r="E1285" s="54" t="str">
        <f>IF(A1285="","",SUMIF('Daftar Transaksi'!D:D,A1285,'Daftar Transaksi'!F:F))</f>
        <v/>
      </c>
      <c r="F1285" s="54" t="str">
        <f t="shared" si="60"/>
        <v/>
      </c>
      <c r="G1285" s="54" t="str">
        <f t="shared" si="61"/>
        <v/>
      </c>
      <c r="H1285" s="54" t="str">
        <f t="shared" si="62"/>
        <v/>
      </c>
    </row>
    <row r="1286" spans="5:8" x14ac:dyDescent="0.25">
      <c r="E1286" s="54" t="str">
        <f>IF(A1286="","",SUMIF('Daftar Transaksi'!D:D,A1286,'Daftar Transaksi'!F:F))</f>
        <v/>
      </c>
      <c r="F1286" s="54" t="str">
        <f t="shared" si="60"/>
        <v/>
      </c>
      <c r="G1286" s="54" t="str">
        <f t="shared" si="61"/>
        <v/>
      </c>
      <c r="H1286" s="54" t="str">
        <f t="shared" si="62"/>
        <v/>
      </c>
    </row>
    <row r="1287" spans="5:8" x14ac:dyDescent="0.25">
      <c r="E1287" s="54" t="str">
        <f>IF(A1287="","",SUMIF('Daftar Transaksi'!D:D,A1287,'Daftar Transaksi'!F:F))</f>
        <v/>
      </c>
      <c r="F1287" s="54" t="str">
        <f t="shared" si="60"/>
        <v/>
      </c>
      <c r="G1287" s="54" t="str">
        <f t="shared" si="61"/>
        <v/>
      </c>
      <c r="H1287" s="54" t="str">
        <f t="shared" si="62"/>
        <v/>
      </c>
    </row>
    <row r="1288" spans="5:8" x14ac:dyDescent="0.25">
      <c r="E1288" s="54" t="str">
        <f>IF(A1288="","",SUMIF('Daftar Transaksi'!D:D,A1288,'Daftar Transaksi'!F:F))</f>
        <v/>
      </c>
      <c r="F1288" s="54" t="str">
        <f t="shared" si="60"/>
        <v/>
      </c>
      <c r="G1288" s="54" t="str">
        <f t="shared" si="61"/>
        <v/>
      </c>
      <c r="H1288" s="54" t="str">
        <f t="shared" si="62"/>
        <v/>
      </c>
    </row>
    <row r="1289" spans="5:8" x14ac:dyDescent="0.25">
      <c r="E1289" s="54" t="str">
        <f>IF(A1289="","",SUMIF('Daftar Transaksi'!D:D,A1289,'Daftar Transaksi'!F:F))</f>
        <v/>
      </c>
      <c r="F1289" s="54" t="str">
        <f t="shared" si="60"/>
        <v/>
      </c>
      <c r="G1289" s="54" t="str">
        <f t="shared" si="61"/>
        <v/>
      </c>
      <c r="H1289" s="54" t="str">
        <f t="shared" si="62"/>
        <v/>
      </c>
    </row>
    <row r="1290" spans="5:8" x14ac:dyDescent="0.25">
      <c r="E1290" s="54" t="str">
        <f>IF(A1290="","",SUMIF('Daftar Transaksi'!D:D,A1290,'Daftar Transaksi'!F:F))</f>
        <v/>
      </c>
      <c r="F1290" s="54" t="str">
        <f t="shared" si="60"/>
        <v/>
      </c>
      <c r="G1290" s="54" t="str">
        <f t="shared" si="61"/>
        <v/>
      </c>
      <c r="H1290" s="54" t="str">
        <f t="shared" si="62"/>
        <v/>
      </c>
    </row>
    <row r="1291" spans="5:8" x14ac:dyDescent="0.25">
      <c r="E1291" s="54" t="str">
        <f>IF(A1291="","",SUMIF('Daftar Transaksi'!D:D,A1291,'Daftar Transaksi'!F:F))</f>
        <v/>
      </c>
      <c r="F1291" s="54" t="str">
        <f t="shared" si="60"/>
        <v/>
      </c>
      <c r="G1291" s="54" t="str">
        <f t="shared" si="61"/>
        <v/>
      </c>
      <c r="H1291" s="54" t="str">
        <f t="shared" si="62"/>
        <v/>
      </c>
    </row>
    <row r="1292" spans="5:8" x14ac:dyDescent="0.25">
      <c r="E1292" s="54" t="str">
        <f>IF(A1292="","",SUMIF('Daftar Transaksi'!D:D,A1292,'Daftar Transaksi'!F:F))</f>
        <v/>
      </c>
      <c r="F1292" s="54" t="str">
        <f t="shared" si="60"/>
        <v/>
      </c>
      <c r="G1292" s="54" t="str">
        <f t="shared" si="61"/>
        <v/>
      </c>
      <c r="H1292" s="54" t="str">
        <f t="shared" si="62"/>
        <v/>
      </c>
    </row>
    <row r="1293" spans="5:8" x14ac:dyDescent="0.25">
      <c r="E1293" s="54" t="str">
        <f>IF(A1293="","",SUMIF('Daftar Transaksi'!D:D,A1293,'Daftar Transaksi'!F:F))</f>
        <v/>
      </c>
      <c r="F1293" s="54" t="str">
        <f t="shared" si="60"/>
        <v/>
      </c>
      <c r="G1293" s="54" t="str">
        <f t="shared" si="61"/>
        <v/>
      </c>
      <c r="H1293" s="54" t="str">
        <f t="shared" si="62"/>
        <v/>
      </c>
    </row>
    <row r="1294" spans="5:8" x14ac:dyDescent="0.25">
      <c r="E1294" s="54" t="str">
        <f>IF(A1294="","",SUMIF('Daftar Transaksi'!D:D,A1294,'Daftar Transaksi'!F:F))</f>
        <v/>
      </c>
      <c r="F1294" s="54" t="str">
        <f t="shared" si="60"/>
        <v/>
      </c>
      <c r="G1294" s="54" t="str">
        <f t="shared" si="61"/>
        <v/>
      </c>
      <c r="H1294" s="54" t="str">
        <f t="shared" si="62"/>
        <v/>
      </c>
    </row>
    <row r="1295" spans="5:8" x14ac:dyDescent="0.25">
      <c r="E1295" s="54" t="str">
        <f>IF(A1295="","",SUMIF('Daftar Transaksi'!D:D,A1295,'Daftar Transaksi'!F:F))</f>
        <v/>
      </c>
      <c r="F1295" s="54" t="str">
        <f t="shared" si="60"/>
        <v/>
      </c>
      <c r="G1295" s="54" t="str">
        <f t="shared" si="61"/>
        <v/>
      </c>
      <c r="H1295" s="54" t="str">
        <f t="shared" si="62"/>
        <v/>
      </c>
    </row>
    <row r="1296" spans="5:8" x14ac:dyDescent="0.25">
      <c r="E1296" s="54" t="str">
        <f>IF(A1296="","",SUMIF('Daftar Transaksi'!D:D,A1296,'Daftar Transaksi'!F:F))</f>
        <v/>
      </c>
      <c r="F1296" s="54" t="str">
        <f t="shared" si="60"/>
        <v/>
      </c>
      <c r="G1296" s="54" t="str">
        <f t="shared" si="61"/>
        <v/>
      </c>
      <c r="H1296" s="54" t="str">
        <f t="shared" si="62"/>
        <v/>
      </c>
    </row>
    <row r="1297" spans="5:8" x14ac:dyDescent="0.25">
      <c r="E1297" s="54" t="str">
        <f>IF(A1297="","",SUMIF('Daftar Transaksi'!D:D,A1297,'Daftar Transaksi'!F:F))</f>
        <v/>
      </c>
      <c r="F1297" s="54" t="str">
        <f t="shared" si="60"/>
        <v/>
      </c>
      <c r="G1297" s="54" t="str">
        <f t="shared" si="61"/>
        <v/>
      </c>
      <c r="H1297" s="54" t="str">
        <f t="shared" si="62"/>
        <v/>
      </c>
    </row>
    <row r="1298" spans="5:8" x14ac:dyDescent="0.25">
      <c r="E1298" s="54" t="str">
        <f>IF(A1298="","",SUMIF('Daftar Transaksi'!D:D,A1298,'Daftar Transaksi'!F:F))</f>
        <v/>
      </c>
      <c r="F1298" s="54" t="str">
        <f t="shared" si="60"/>
        <v/>
      </c>
      <c r="G1298" s="54" t="str">
        <f t="shared" si="61"/>
        <v/>
      </c>
      <c r="H1298" s="54" t="str">
        <f t="shared" si="62"/>
        <v/>
      </c>
    </row>
    <row r="1299" spans="5:8" x14ac:dyDescent="0.25">
      <c r="E1299" s="54" t="str">
        <f>IF(A1299="","",SUMIF('Daftar Transaksi'!D:D,A1299,'Daftar Transaksi'!F:F))</f>
        <v/>
      </c>
      <c r="F1299" s="54" t="str">
        <f t="shared" si="60"/>
        <v/>
      </c>
      <c r="G1299" s="54" t="str">
        <f t="shared" si="61"/>
        <v/>
      </c>
      <c r="H1299" s="54" t="str">
        <f t="shared" si="62"/>
        <v/>
      </c>
    </row>
    <row r="1300" spans="5:8" x14ac:dyDescent="0.25">
      <c r="E1300" s="54" t="str">
        <f>IF(A1300="","",SUMIF('Daftar Transaksi'!D:D,A1300,'Daftar Transaksi'!F:F))</f>
        <v/>
      </c>
      <c r="F1300" s="54" t="str">
        <f t="shared" si="60"/>
        <v/>
      </c>
      <c r="G1300" s="54" t="str">
        <f t="shared" si="61"/>
        <v/>
      </c>
      <c r="H1300" s="54" t="str">
        <f t="shared" si="62"/>
        <v/>
      </c>
    </row>
    <row r="1301" spans="5:8" x14ac:dyDescent="0.25">
      <c r="E1301" s="54" t="str">
        <f>IF(A1301="","",SUMIF('Daftar Transaksi'!D:D,A1301,'Daftar Transaksi'!F:F))</f>
        <v/>
      </c>
      <c r="F1301" s="54" t="str">
        <f t="shared" si="60"/>
        <v/>
      </c>
      <c r="G1301" s="54" t="str">
        <f t="shared" si="61"/>
        <v/>
      </c>
      <c r="H1301" s="54" t="str">
        <f t="shared" si="62"/>
        <v/>
      </c>
    </row>
    <row r="1302" spans="5:8" x14ac:dyDescent="0.25">
      <c r="E1302" s="54" t="str">
        <f>IF(A1302="","",SUMIF('Daftar Transaksi'!D:D,A1302,'Daftar Transaksi'!F:F))</f>
        <v/>
      </c>
      <c r="F1302" s="54" t="str">
        <f t="shared" si="60"/>
        <v/>
      </c>
      <c r="G1302" s="54" t="str">
        <f t="shared" si="61"/>
        <v/>
      </c>
      <c r="H1302" s="54" t="str">
        <f t="shared" si="62"/>
        <v/>
      </c>
    </row>
    <row r="1303" spans="5:8" x14ac:dyDescent="0.25">
      <c r="E1303" s="54" t="str">
        <f>IF(A1303="","",SUMIF('Daftar Transaksi'!D:D,A1303,'Daftar Transaksi'!F:F))</f>
        <v/>
      </c>
      <c r="F1303" s="54" t="str">
        <f t="shared" si="60"/>
        <v/>
      </c>
      <c r="G1303" s="54" t="str">
        <f t="shared" si="61"/>
        <v/>
      </c>
      <c r="H1303" s="54" t="str">
        <f t="shared" si="62"/>
        <v/>
      </c>
    </row>
    <row r="1304" spans="5:8" x14ac:dyDescent="0.25">
      <c r="E1304" s="54" t="str">
        <f>IF(A1304="","",SUMIF('Daftar Transaksi'!D:D,A1304,'Daftar Transaksi'!F:F))</f>
        <v/>
      </c>
      <c r="F1304" s="54" t="str">
        <f t="shared" si="60"/>
        <v/>
      </c>
      <c r="G1304" s="54" t="str">
        <f t="shared" si="61"/>
        <v/>
      </c>
      <c r="H1304" s="54" t="str">
        <f t="shared" si="62"/>
        <v/>
      </c>
    </row>
    <row r="1305" spans="5:8" x14ac:dyDescent="0.25">
      <c r="E1305" s="54" t="str">
        <f>IF(A1305="","",SUMIF('Daftar Transaksi'!D:D,A1305,'Daftar Transaksi'!F:F))</f>
        <v/>
      </c>
      <c r="F1305" s="54" t="str">
        <f t="shared" si="60"/>
        <v/>
      </c>
      <c r="G1305" s="54" t="str">
        <f t="shared" si="61"/>
        <v/>
      </c>
      <c r="H1305" s="54" t="str">
        <f t="shared" si="62"/>
        <v/>
      </c>
    </row>
    <row r="1306" spans="5:8" x14ac:dyDescent="0.25">
      <c r="E1306" s="54" t="str">
        <f>IF(A1306="","",SUMIF('Daftar Transaksi'!D:D,A1306,'Daftar Transaksi'!F:F))</f>
        <v/>
      </c>
      <c r="F1306" s="54" t="str">
        <f t="shared" si="60"/>
        <v/>
      </c>
      <c r="G1306" s="54" t="str">
        <f t="shared" si="61"/>
        <v/>
      </c>
      <c r="H1306" s="54" t="str">
        <f t="shared" si="62"/>
        <v/>
      </c>
    </row>
    <row r="1307" spans="5:8" x14ac:dyDescent="0.25">
      <c r="E1307" s="54" t="str">
        <f>IF(A1307="","",SUMIF('Daftar Transaksi'!D:D,A1307,'Daftar Transaksi'!F:F))</f>
        <v/>
      </c>
      <c r="F1307" s="54" t="str">
        <f t="shared" si="60"/>
        <v/>
      </c>
      <c r="G1307" s="54" t="str">
        <f t="shared" si="61"/>
        <v/>
      </c>
      <c r="H1307" s="54" t="str">
        <f t="shared" si="62"/>
        <v/>
      </c>
    </row>
    <row r="1308" spans="5:8" x14ac:dyDescent="0.25">
      <c r="E1308" s="54" t="str">
        <f>IF(A1308="","",SUMIF('Daftar Transaksi'!D:D,A1308,'Daftar Transaksi'!F:F))</f>
        <v/>
      </c>
      <c r="F1308" s="54" t="str">
        <f t="shared" si="60"/>
        <v/>
      </c>
      <c r="G1308" s="54" t="str">
        <f t="shared" si="61"/>
        <v/>
      </c>
      <c r="H1308" s="54" t="str">
        <f t="shared" si="62"/>
        <v/>
      </c>
    </row>
    <row r="1309" spans="5:8" x14ac:dyDescent="0.25">
      <c r="E1309" s="54" t="str">
        <f>IF(A1309="","",SUMIF('Daftar Transaksi'!D:D,A1309,'Daftar Transaksi'!F:F))</f>
        <v/>
      </c>
      <c r="F1309" s="54" t="str">
        <f t="shared" si="60"/>
        <v/>
      </c>
      <c r="G1309" s="54" t="str">
        <f t="shared" si="61"/>
        <v/>
      </c>
      <c r="H1309" s="54" t="str">
        <f t="shared" si="62"/>
        <v/>
      </c>
    </row>
    <row r="1310" spans="5:8" x14ac:dyDescent="0.25">
      <c r="E1310" s="54" t="str">
        <f>IF(A1310="","",SUMIF('Daftar Transaksi'!D:D,A1310,'Daftar Transaksi'!F:F))</f>
        <v/>
      </c>
      <c r="F1310" s="54" t="str">
        <f t="shared" si="60"/>
        <v/>
      </c>
      <c r="G1310" s="54" t="str">
        <f t="shared" si="61"/>
        <v/>
      </c>
      <c r="H1310" s="54" t="str">
        <f t="shared" si="62"/>
        <v/>
      </c>
    </row>
    <row r="1311" spans="5:8" x14ac:dyDescent="0.25">
      <c r="E1311" s="54" t="str">
        <f>IF(A1311="","",SUMIF('Daftar Transaksi'!D:D,A1311,'Daftar Transaksi'!F:F))</f>
        <v/>
      </c>
      <c r="F1311" s="54" t="str">
        <f t="shared" si="60"/>
        <v/>
      </c>
      <c r="G1311" s="54" t="str">
        <f t="shared" si="61"/>
        <v/>
      </c>
      <c r="H1311" s="54" t="str">
        <f t="shared" si="62"/>
        <v/>
      </c>
    </row>
    <row r="1312" spans="5:8" x14ac:dyDescent="0.25">
      <c r="E1312" s="54" t="str">
        <f>IF(A1312="","",SUMIF('Daftar Transaksi'!D:D,A1312,'Daftar Transaksi'!F:F))</f>
        <v/>
      </c>
      <c r="F1312" s="54" t="str">
        <f t="shared" si="60"/>
        <v/>
      </c>
      <c r="G1312" s="54" t="str">
        <f t="shared" si="61"/>
        <v/>
      </c>
      <c r="H1312" s="54" t="str">
        <f t="shared" si="62"/>
        <v/>
      </c>
    </row>
    <row r="1313" spans="5:8" x14ac:dyDescent="0.25">
      <c r="E1313" s="54" t="str">
        <f>IF(A1313="","",SUMIF('Daftar Transaksi'!D:D,A1313,'Daftar Transaksi'!F:F))</f>
        <v/>
      </c>
      <c r="F1313" s="54" t="str">
        <f t="shared" si="60"/>
        <v/>
      </c>
      <c r="G1313" s="54" t="str">
        <f t="shared" si="61"/>
        <v/>
      </c>
      <c r="H1313" s="54" t="str">
        <f t="shared" si="62"/>
        <v/>
      </c>
    </row>
    <row r="1314" spans="5:8" x14ac:dyDescent="0.25">
      <c r="E1314" s="54" t="str">
        <f>IF(A1314="","",SUMIF('Daftar Transaksi'!D:D,A1314,'Daftar Transaksi'!F:F))</f>
        <v/>
      </c>
      <c r="F1314" s="54" t="str">
        <f t="shared" si="60"/>
        <v/>
      </c>
      <c r="G1314" s="54" t="str">
        <f t="shared" si="61"/>
        <v/>
      </c>
      <c r="H1314" s="54" t="str">
        <f t="shared" si="62"/>
        <v/>
      </c>
    </row>
    <row r="1315" spans="5:8" x14ac:dyDescent="0.25">
      <c r="E1315" s="54" t="str">
        <f>IF(A1315="","",SUMIF('Daftar Transaksi'!D:D,A1315,'Daftar Transaksi'!F:F))</f>
        <v/>
      </c>
      <c r="F1315" s="54" t="str">
        <f t="shared" si="60"/>
        <v/>
      </c>
      <c r="G1315" s="54" t="str">
        <f t="shared" si="61"/>
        <v/>
      </c>
      <c r="H1315" s="54" t="str">
        <f t="shared" si="62"/>
        <v/>
      </c>
    </row>
    <row r="1316" spans="5:8" x14ac:dyDescent="0.25">
      <c r="E1316" s="54" t="str">
        <f>IF(A1316="","",SUMIF('Daftar Transaksi'!D:D,A1316,'Daftar Transaksi'!F:F))</f>
        <v/>
      </c>
      <c r="F1316" s="54" t="str">
        <f t="shared" si="60"/>
        <v/>
      </c>
      <c r="G1316" s="54" t="str">
        <f t="shared" si="61"/>
        <v/>
      </c>
      <c r="H1316" s="54" t="str">
        <f t="shared" si="62"/>
        <v/>
      </c>
    </row>
    <row r="1317" spans="5:8" x14ac:dyDescent="0.25">
      <c r="E1317" s="54" t="str">
        <f>IF(A1317="","",SUMIF('Daftar Transaksi'!D:D,A1317,'Daftar Transaksi'!F:F))</f>
        <v/>
      </c>
      <c r="F1317" s="54" t="str">
        <f t="shared" si="60"/>
        <v/>
      </c>
      <c r="G1317" s="54" t="str">
        <f t="shared" si="61"/>
        <v/>
      </c>
      <c r="H1317" s="54" t="str">
        <f t="shared" si="62"/>
        <v/>
      </c>
    </row>
    <row r="1318" spans="5:8" x14ac:dyDescent="0.25">
      <c r="E1318" s="54" t="str">
        <f>IF(A1318="","",SUMIF('Daftar Transaksi'!D:D,A1318,'Daftar Transaksi'!F:F))</f>
        <v/>
      </c>
      <c r="F1318" s="54" t="str">
        <f t="shared" si="60"/>
        <v/>
      </c>
      <c r="G1318" s="54" t="str">
        <f t="shared" si="61"/>
        <v/>
      </c>
      <c r="H1318" s="54" t="str">
        <f t="shared" si="62"/>
        <v/>
      </c>
    </row>
    <row r="1319" spans="5:8" x14ac:dyDescent="0.25">
      <c r="E1319" s="54" t="str">
        <f>IF(A1319="","",SUMIF('Daftar Transaksi'!D:D,A1319,'Daftar Transaksi'!F:F))</f>
        <v/>
      </c>
      <c r="F1319" s="54" t="str">
        <f t="shared" si="60"/>
        <v/>
      </c>
      <c r="G1319" s="54" t="str">
        <f t="shared" si="61"/>
        <v/>
      </c>
      <c r="H1319" s="54" t="str">
        <f t="shared" si="62"/>
        <v/>
      </c>
    </row>
    <row r="1320" spans="5:8" x14ac:dyDescent="0.25">
      <c r="E1320" s="54" t="str">
        <f>IF(A1320="","",SUMIF('Daftar Transaksi'!D:D,A1320,'Daftar Transaksi'!F:F))</f>
        <v/>
      </c>
      <c r="F1320" s="54" t="str">
        <f t="shared" si="60"/>
        <v/>
      </c>
      <c r="G1320" s="54" t="str">
        <f t="shared" si="61"/>
        <v/>
      </c>
      <c r="H1320" s="54" t="str">
        <f t="shared" si="62"/>
        <v/>
      </c>
    </row>
    <row r="1321" spans="5:8" x14ac:dyDescent="0.25">
      <c r="E1321" s="54" t="str">
        <f>IF(A1321="","",SUMIF('Daftar Transaksi'!D:D,A1321,'Daftar Transaksi'!F:F))</f>
        <v/>
      </c>
      <c r="F1321" s="54" t="str">
        <f t="shared" si="60"/>
        <v/>
      </c>
      <c r="G1321" s="54" t="str">
        <f t="shared" si="61"/>
        <v/>
      </c>
      <c r="H1321" s="54" t="str">
        <f t="shared" si="62"/>
        <v/>
      </c>
    </row>
    <row r="1322" spans="5:8" x14ac:dyDescent="0.25">
      <c r="E1322" s="54" t="str">
        <f>IF(A1322="","",SUMIF('Daftar Transaksi'!D:D,A1322,'Daftar Transaksi'!F:F))</f>
        <v/>
      </c>
      <c r="F1322" s="54" t="str">
        <f t="shared" si="60"/>
        <v/>
      </c>
      <c r="G1322" s="54" t="str">
        <f t="shared" si="61"/>
        <v/>
      </c>
      <c r="H1322" s="54" t="str">
        <f t="shared" si="62"/>
        <v/>
      </c>
    </row>
    <row r="1323" spans="5:8" x14ac:dyDescent="0.25">
      <c r="E1323" s="54" t="str">
        <f>IF(A1323="","",SUMIF('Daftar Transaksi'!D:D,A1323,'Daftar Transaksi'!F:F))</f>
        <v/>
      </c>
      <c r="F1323" s="54" t="str">
        <f t="shared" si="60"/>
        <v/>
      </c>
      <c r="G1323" s="54" t="str">
        <f t="shared" si="61"/>
        <v/>
      </c>
      <c r="H1323" s="54" t="str">
        <f t="shared" si="62"/>
        <v/>
      </c>
    </row>
    <row r="1324" spans="5:8" x14ac:dyDescent="0.25">
      <c r="E1324" s="54" t="str">
        <f>IF(A1324="","",SUMIF('Daftar Transaksi'!D:D,A1324,'Daftar Transaksi'!F:F))</f>
        <v/>
      </c>
      <c r="F1324" s="54" t="str">
        <f t="shared" si="60"/>
        <v/>
      </c>
      <c r="G1324" s="54" t="str">
        <f t="shared" si="61"/>
        <v/>
      </c>
      <c r="H1324" s="54" t="str">
        <f t="shared" si="62"/>
        <v/>
      </c>
    </row>
    <row r="1325" spans="5:8" x14ac:dyDescent="0.25">
      <c r="E1325" s="54" t="str">
        <f>IF(A1325="","",SUMIF('Daftar Transaksi'!D:D,A1325,'Daftar Transaksi'!F:F))</f>
        <v/>
      </c>
      <c r="F1325" s="54" t="str">
        <f t="shared" si="60"/>
        <v/>
      </c>
      <c r="G1325" s="54" t="str">
        <f t="shared" si="61"/>
        <v/>
      </c>
      <c r="H1325" s="54" t="str">
        <f t="shared" si="62"/>
        <v/>
      </c>
    </row>
    <row r="1326" spans="5:8" x14ac:dyDescent="0.25">
      <c r="E1326" s="54" t="str">
        <f>IF(A1326="","",SUMIF('Daftar Transaksi'!D:D,A1326,'Daftar Transaksi'!F:F))</f>
        <v/>
      </c>
      <c r="F1326" s="54" t="str">
        <f t="shared" si="60"/>
        <v/>
      </c>
      <c r="G1326" s="54" t="str">
        <f t="shared" si="61"/>
        <v/>
      </c>
      <c r="H1326" s="54" t="str">
        <f t="shared" si="62"/>
        <v/>
      </c>
    </row>
    <row r="1327" spans="5:8" x14ac:dyDescent="0.25">
      <c r="E1327" s="54" t="str">
        <f>IF(A1327="","",SUMIF('Daftar Transaksi'!D:D,A1327,'Daftar Transaksi'!F:F))</f>
        <v/>
      </c>
      <c r="F1327" s="54" t="str">
        <f t="shared" si="60"/>
        <v/>
      </c>
      <c r="G1327" s="54" t="str">
        <f t="shared" si="61"/>
        <v/>
      </c>
      <c r="H1327" s="54" t="str">
        <f t="shared" si="62"/>
        <v/>
      </c>
    </row>
    <row r="1328" spans="5:8" x14ac:dyDescent="0.25">
      <c r="E1328" s="54" t="str">
        <f>IF(A1328="","",SUMIF('Daftar Transaksi'!D:D,A1328,'Daftar Transaksi'!F:F))</f>
        <v/>
      </c>
      <c r="F1328" s="54" t="str">
        <f t="shared" si="60"/>
        <v/>
      </c>
      <c r="G1328" s="54" t="str">
        <f t="shared" si="61"/>
        <v/>
      </c>
      <c r="H1328" s="54" t="str">
        <f t="shared" si="62"/>
        <v/>
      </c>
    </row>
    <row r="1329" spans="5:8" x14ac:dyDescent="0.25">
      <c r="E1329" s="54" t="str">
        <f>IF(A1329="","",SUMIF('Daftar Transaksi'!D:D,A1329,'Daftar Transaksi'!F:F))</f>
        <v/>
      </c>
      <c r="F1329" s="54" t="str">
        <f t="shared" si="60"/>
        <v/>
      </c>
      <c r="G1329" s="54" t="str">
        <f t="shared" si="61"/>
        <v/>
      </c>
      <c r="H1329" s="54" t="str">
        <f t="shared" si="62"/>
        <v/>
      </c>
    </row>
    <row r="1330" spans="5:8" x14ac:dyDescent="0.25">
      <c r="E1330" s="54" t="str">
        <f>IF(A1330="","",SUMIF('Daftar Transaksi'!D:D,A1330,'Daftar Transaksi'!F:F))</f>
        <v/>
      </c>
      <c r="F1330" s="54" t="str">
        <f t="shared" si="60"/>
        <v/>
      </c>
      <c r="G1330" s="54" t="str">
        <f t="shared" si="61"/>
        <v/>
      </c>
      <c r="H1330" s="54" t="str">
        <f t="shared" si="62"/>
        <v/>
      </c>
    </row>
    <row r="1331" spans="5:8" x14ac:dyDescent="0.25">
      <c r="E1331" s="54" t="str">
        <f>IF(A1331="","",SUMIF('Daftar Transaksi'!D:D,A1331,'Daftar Transaksi'!F:F))</f>
        <v/>
      </c>
      <c r="F1331" s="54" t="str">
        <f t="shared" si="60"/>
        <v/>
      </c>
      <c r="G1331" s="54" t="str">
        <f t="shared" si="61"/>
        <v/>
      </c>
      <c r="H1331" s="54" t="str">
        <f t="shared" si="62"/>
        <v/>
      </c>
    </row>
    <row r="1332" spans="5:8" x14ac:dyDescent="0.25">
      <c r="E1332" s="54" t="str">
        <f>IF(A1332="","",SUMIF('Daftar Transaksi'!D:D,A1332,'Daftar Transaksi'!F:F))</f>
        <v/>
      </c>
      <c r="F1332" s="54" t="str">
        <f t="shared" si="60"/>
        <v/>
      </c>
      <c r="G1332" s="54" t="str">
        <f t="shared" si="61"/>
        <v/>
      </c>
      <c r="H1332" s="54" t="str">
        <f t="shared" si="62"/>
        <v/>
      </c>
    </row>
    <row r="1333" spans="5:8" x14ac:dyDescent="0.25">
      <c r="E1333" s="54" t="str">
        <f>IF(A1333="","",SUMIF('Daftar Transaksi'!D:D,A1333,'Daftar Transaksi'!F:F))</f>
        <v/>
      </c>
      <c r="F1333" s="54" t="str">
        <f t="shared" si="60"/>
        <v/>
      </c>
      <c r="G1333" s="54" t="str">
        <f t="shared" si="61"/>
        <v/>
      </c>
      <c r="H1333" s="54" t="str">
        <f t="shared" si="62"/>
        <v/>
      </c>
    </row>
    <row r="1334" spans="5:8" x14ac:dyDescent="0.25">
      <c r="E1334" s="54" t="str">
        <f>IF(A1334="","",SUMIF('Daftar Transaksi'!D:D,A1334,'Daftar Transaksi'!F:F))</f>
        <v/>
      </c>
      <c r="F1334" s="54" t="str">
        <f t="shared" si="60"/>
        <v/>
      </c>
      <c r="G1334" s="54" t="str">
        <f t="shared" si="61"/>
        <v/>
      </c>
      <c r="H1334" s="54" t="str">
        <f t="shared" si="62"/>
        <v/>
      </c>
    </row>
    <row r="1335" spans="5:8" x14ac:dyDescent="0.25">
      <c r="E1335" s="54" t="str">
        <f>IF(A1335="","",SUMIF('Daftar Transaksi'!D:D,A1335,'Daftar Transaksi'!F:F))</f>
        <v/>
      </c>
      <c r="F1335" s="54" t="str">
        <f t="shared" si="60"/>
        <v/>
      </c>
      <c r="G1335" s="54" t="str">
        <f t="shared" si="61"/>
        <v/>
      </c>
      <c r="H1335" s="54" t="str">
        <f t="shared" si="62"/>
        <v/>
      </c>
    </row>
    <row r="1336" spans="5:8" x14ac:dyDescent="0.25">
      <c r="E1336" s="54" t="str">
        <f>IF(A1336="","",SUMIF('Daftar Transaksi'!D:D,A1336,'Daftar Transaksi'!F:F))</f>
        <v/>
      </c>
      <c r="F1336" s="54" t="str">
        <f t="shared" si="60"/>
        <v/>
      </c>
      <c r="G1336" s="54" t="str">
        <f t="shared" si="61"/>
        <v/>
      </c>
      <c r="H1336" s="54" t="str">
        <f t="shared" si="62"/>
        <v/>
      </c>
    </row>
    <row r="1337" spans="5:8" x14ac:dyDescent="0.25">
      <c r="E1337" s="54" t="str">
        <f>IF(A1337="","",SUMIF('Daftar Transaksi'!D:D,A1337,'Daftar Transaksi'!F:F))</f>
        <v/>
      </c>
      <c r="F1337" s="54" t="str">
        <f t="shared" si="60"/>
        <v/>
      </c>
      <c r="G1337" s="54" t="str">
        <f t="shared" si="61"/>
        <v/>
      </c>
      <c r="H1337" s="54" t="str">
        <f t="shared" si="62"/>
        <v/>
      </c>
    </row>
    <row r="1338" spans="5:8" x14ac:dyDescent="0.25">
      <c r="E1338" s="54" t="str">
        <f>IF(A1338="","",SUMIF('Daftar Transaksi'!D:D,A1338,'Daftar Transaksi'!F:F))</f>
        <v/>
      </c>
      <c r="F1338" s="54" t="str">
        <f t="shared" si="60"/>
        <v/>
      </c>
      <c r="G1338" s="54" t="str">
        <f t="shared" si="61"/>
        <v/>
      </c>
      <c r="H1338" s="54" t="str">
        <f t="shared" si="62"/>
        <v/>
      </c>
    </row>
    <row r="1339" spans="5:8" x14ac:dyDescent="0.25">
      <c r="E1339" s="54" t="str">
        <f>IF(A1339="","",SUMIF('Daftar Transaksi'!D:D,A1339,'Daftar Transaksi'!F:F))</f>
        <v/>
      </c>
      <c r="F1339" s="54" t="str">
        <f t="shared" si="60"/>
        <v/>
      </c>
      <c r="G1339" s="54" t="str">
        <f t="shared" si="61"/>
        <v/>
      </c>
      <c r="H1339" s="54" t="str">
        <f t="shared" si="62"/>
        <v/>
      </c>
    </row>
    <row r="1340" spans="5:8" x14ac:dyDescent="0.25">
      <c r="E1340" s="54" t="str">
        <f>IF(A1340="","",SUMIF('Daftar Transaksi'!D:D,A1340,'Daftar Transaksi'!F:F))</f>
        <v/>
      </c>
      <c r="F1340" s="54" t="str">
        <f t="shared" si="60"/>
        <v/>
      </c>
      <c r="G1340" s="54" t="str">
        <f t="shared" si="61"/>
        <v/>
      </c>
      <c r="H1340" s="54" t="str">
        <f t="shared" si="62"/>
        <v/>
      </c>
    </row>
    <row r="1341" spans="5:8" x14ac:dyDescent="0.25">
      <c r="E1341" s="54" t="str">
        <f>IF(A1341="","",SUMIF('Daftar Transaksi'!D:D,A1341,'Daftar Transaksi'!F:F))</f>
        <v/>
      </c>
      <c r="F1341" s="54" t="str">
        <f t="shared" si="60"/>
        <v/>
      </c>
      <c r="G1341" s="54" t="str">
        <f t="shared" si="61"/>
        <v/>
      </c>
      <c r="H1341" s="54" t="str">
        <f t="shared" si="62"/>
        <v/>
      </c>
    </row>
    <row r="1342" spans="5:8" x14ac:dyDescent="0.25">
      <c r="E1342" s="54" t="str">
        <f>IF(A1342="","",SUMIF('Daftar Transaksi'!D:D,A1342,'Daftar Transaksi'!F:F))</f>
        <v/>
      </c>
      <c r="F1342" s="54" t="str">
        <f t="shared" si="60"/>
        <v/>
      </c>
      <c r="G1342" s="54" t="str">
        <f t="shared" si="61"/>
        <v/>
      </c>
      <c r="H1342" s="54" t="str">
        <f t="shared" si="62"/>
        <v/>
      </c>
    </row>
    <row r="1343" spans="5:8" x14ac:dyDescent="0.25">
      <c r="E1343" s="54" t="str">
        <f>IF(A1343="","",SUMIF('Daftar Transaksi'!D:D,A1343,'Daftar Transaksi'!F:F))</f>
        <v/>
      </c>
      <c r="F1343" s="54" t="str">
        <f t="shared" ref="F1343:F1406" si="63">IF(A1343="","",D1343-E1343)</f>
        <v/>
      </c>
      <c r="G1343" s="54" t="str">
        <f t="shared" ref="G1343:G1406" si="64">IF(A1343="","",C1343*E1343)</f>
        <v/>
      </c>
      <c r="H1343" s="54" t="str">
        <f t="shared" ref="H1343:H1406" si="65">IF(A1343="","",G1343-(B1343*E1343))</f>
        <v/>
      </c>
    </row>
    <row r="1344" spans="5:8" x14ac:dyDescent="0.25">
      <c r="E1344" s="54" t="str">
        <f>IF(A1344="","",SUMIF('Daftar Transaksi'!D:D,A1344,'Daftar Transaksi'!F:F))</f>
        <v/>
      </c>
      <c r="F1344" s="54" t="str">
        <f t="shared" si="63"/>
        <v/>
      </c>
      <c r="G1344" s="54" t="str">
        <f t="shared" si="64"/>
        <v/>
      </c>
      <c r="H1344" s="54" t="str">
        <f t="shared" si="65"/>
        <v/>
      </c>
    </row>
    <row r="1345" spans="5:8" x14ac:dyDescent="0.25">
      <c r="E1345" s="54" t="str">
        <f>IF(A1345="","",SUMIF('Daftar Transaksi'!D:D,A1345,'Daftar Transaksi'!F:F))</f>
        <v/>
      </c>
      <c r="F1345" s="54" t="str">
        <f t="shared" si="63"/>
        <v/>
      </c>
      <c r="G1345" s="54" t="str">
        <f t="shared" si="64"/>
        <v/>
      </c>
      <c r="H1345" s="54" t="str">
        <f t="shared" si="65"/>
        <v/>
      </c>
    </row>
    <row r="1346" spans="5:8" x14ac:dyDescent="0.25">
      <c r="E1346" s="54" t="str">
        <f>IF(A1346="","",SUMIF('Daftar Transaksi'!D:D,A1346,'Daftar Transaksi'!F:F))</f>
        <v/>
      </c>
      <c r="F1346" s="54" t="str">
        <f t="shared" si="63"/>
        <v/>
      </c>
      <c r="G1346" s="54" t="str">
        <f t="shared" si="64"/>
        <v/>
      </c>
      <c r="H1346" s="54" t="str">
        <f t="shared" si="65"/>
        <v/>
      </c>
    </row>
    <row r="1347" spans="5:8" x14ac:dyDescent="0.25">
      <c r="E1347" s="54" t="str">
        <f>IF(A1347="","",SUMIF('Daftar Transaksi'!D:D,A1347,'Daftar Transaksi'!F:F))</f>
        <v/>
      </c>
      <c r="F1347" s="54" t="str">
        <f t="shared" si="63"/>
        <v/>
      </c>
      <c r="G1347" s="54" t="str">
        <f t="shared" si="64"/>
        <v/>
      </c>
      <c r="H1347" s="54" t="str">
        <f t="shared" si="65"/>
        <v/>
      </c>
    </row>
    <row r="1348" spans="5:8" x14ac:dyDescent="0.25">
      <c r="E1348" s="54" t="str">
        <f>IF(A1348="","",SUMIF('Daftar Transaksi'!D:D,A1348,'Daftar Transaksi'!F:F))</f>
        <v/>
      </c>
      <c r="F1348" s="54" t="str">
        <f t="shared" si="63"/>
        <v/>
      </c>
      <c r="G1348" s="54" t="str">
        <f t="shared" si="64"/>
        <v/>
      </c>
      <c r="H1348" s="54" t="str">
        <f t="shared" si="65"/>
        <v/>
      </c>
    </row>
    <row r="1349" spans="5:8" x14ac:dyDescent="0.25">
      <c r="E1349" s="54" t="str">
        <f>IF(A1349="","",SUMIF('Daftar Transaksi'!D:D,A1349,'Daftar Transaksi'!F:F))</f>
        <v/>
      </c>
      <c r="F1349" s="54" t="str">
        <f t="shared" si="63"/>
        <v/>
      </c>
      <c r="G1349" s="54" t="str">
        <f t="shared" si="64"/>
        <v/>
      </c>
      <c r="H1349" s="54" t="str">
        <f t="shared" si="65"/>
        <v/>
      </c>
    </row>
    <row r="1350" spans="5:8" x14ac:dyDescent="0.25">
      <c r="E1350" s="54" t="str">
        <f>IF(A1350="","",SUMIF('Daftar Transaksi'!D:D,A1350,'Daftar Transaksi'!F:F))</f>
        <v/>
      </c>
      <c r="F1350" s="54" t="str">
        <f t="shared" si="63"/>
        <v/>
      </c>
      <c r="G1350" s="54" t="str">
        <f t="shared" si="64"/>
        <v/>
      </c>
      <c r="H1350" s="54" t="str">
        <f t="shared" si="65"/>
        <v/>
      </c>
    </row>
    <row r="1351" spans="5:8" x14ac:dyDescent="0.25">
      <c r="E1351" s="54" t="str">
        <f>IF(A1351="","",SUMIF('Daftar Transaksi'!D:D,A1351,'Daftar Transaksi'!F:F))</f>
        <v/>
      </c>
      <c r="F1351" s="54" t="str">
        <f t="shared" si="63"/>
        <v/>
      </c>
      <c r="G1351" s="54" t="str">
        <f t="shared" si="64"/>
        <v/>
      </c>
      <c r="H1351" s="54" t="str">
        <f t="shared" si="65"/>
        <v/>
      </c>
    </row>
    <row r="1352" spans="5:8" x14ac:dyDescent="0.25">
      <c r="E1352" s="54" t="str">
        <f>IF(A1352="","",SUMIF('Daftar Transaksi'!D:D,A1352,'Daftar Transaksi'!F:F))</f>
        <v/>
      </c>
      <c r="F1352" s="54" t="str">
        <f t="shared" si="63"/>
        <v/>
      </c>
      <c r="G1352" s="54" t="str">
        <f t="shared" si="64"/>
        <v/>
      </c>
      <c r="H1352" s="54" t="str">
        <f t="shared" si="65"/>
        <v/>
      </c>
    </row>
    <row r="1353" spans="5:8" x14ac:dyDescent="0.25">
      <c r="E1353" s="54" t="str">
        <f>IF(A1353="","",SUMIF('Daftar Transaksi'!D:D,A1353,'Daftar Transaksi'!F:F))</f>
        <v/>
      </c>
      <c r="F1353" s="54" t="str">
        <f t="shared" si="63"/>
        <v/>
      </c>
      <c r="G1353" s="54" t="str">
        <f t="shared" si="64"/>
        <v/>
      </c>
      <c r="H1353" s="54" t="str">
        <f t="shared" si="65"/>
        <v/>
      </c>
    </row>
    <row r="1354" spans="5:8" x14ac:dyDescent="0.25">
      <c r="E1354" s="54" t="str">
        <f>IF(A1354="","",SUMIF('Daftar Transaksi'!D:D,A1354,'Daftar Transaksi'!F:F))</f>
        <v/>
      </c>
      <c r="F1354" s="54" t="str">
        <f t="shared" si="63"/>
        <v/>
      </c>
      <c r="G1354" s="54" t="str">
        <f t="shared" si="64"/>
        <v/>
      </c>
      <c r="H1354" s="54" t="str">
        <f t="shared" si="65"/>
        <v/>
      </c>
    </row>
    <row r="1355" spans="5:8" x14ac:dyDescent="0.25">
      <c r="E1355" s="54" t="str">
        <f>IF(A1355="","",SUMIF('Daftar Transaksi'!D:D,A1355,'Daftar Transaksi'!F:F))</f>
        <v/>
      </c>
      <c r="F1355" s="54" t="str">
        <f t="shared" si="63"/>
        <v/>
      </c>
      <c r="G1355" s="54" t="str">
        <f t="shared" si="64"/>
        <v/>
      </c>
      <c r="H1355" s="54" t="str">
        <f t="shared" si="65"/>
        <v/>
      </c>
    </row>
    <row r="1356" spans="5:8" x14ac:dyDescent="0.25">
      <c r="E1356" s="54" t="str">
        <f>IF(A1356="","",SUMIF('Daftar Transaksi'!D:D,A1356,'Daftar Transaksi'!F:F))</f>
        <v/>
      </c>
      <c r="F1356" s="54" t="str">
        <f t="shared" si="63"/>
        <v/>
      </c>
      <c r="G1356" s="54" t="str">
        <f t="shared" si="64"/>
        <v/>
      </c>
      <c r="H1356" s="54" t="str">
        <f t="shared" si="65"/>
        <v/>
      </c>
    </row>
    <row r="1357" spans="5:8" x14ac:dyDescent="0.25">
      <c r="E1357" s="54" t="str">
        <f>IF(A1357="","",SUMIF('Daftar Transaksi'!D:D,A1357,'Daftar Transaksi'!F:F))</f>
        <v/>
      </c>
      <c r="F1357" s="54" t="str">
        <f t="shared" si="63"/>
        <v/>
      </c>
      <c r="G1357" s="54" t="str">
        <f t="shared" si="64"/>
        <v/>
      </c>
      <c r="H1357" s="54" t="str">
        <f t="shared" si="65"/>
        <v/>
      </c>
    </row>
    <row r="1358" spans="5:8" x14ac:dyDescent="0.25">
      <c r="E1358" s="54" t="str">
        <f>IF(A1358="","",SUMIF('Daftar Transaksi'!D:D,A1358,'Daftar Transaksi'!F:F))</f>
        <v/>
      </c>
      <c r="F1358" s="54" t="str">
        <f t="shared" si="63"/>
        <v/>
      </c>
      <c r="G1358" s="54" t="str">
        <f t="shared" si="64"/>
        <v/>
      </c>
      <c r="H1358" s="54" t="str">
        <f t="shared" si="65"/>
        <v/>
      </c>
    </row>
    <row r="1359" spans="5:8" x14ac:dyDescent="0.25">
      <c r="E1359" s="54" t="str">
        <f>IF(A1359="","",SUMIF('Daftar Transaksi'!D:D,A1359,'Daftar Transaksi'!F:F))</f>
        <v/>
      </c>
      <c r="F1359" s="54" t="str">
        <f t="shared" si="63"/>
        <v/>
      </c>
      <c r="G1359" s="54" t="str">
        <f t="shared" si="64"/>
        <v/>
      </c>
      <c r="H1359" s="54" t="str">
        <f t="shared" si="65"/>
        <v/>
      </c>
    </row>
    <row r="1360" spans="5:8" x14ac:dyDescent="0.25">
      <c r="E1360" s="54" t="str">
        <f>IF(A1360="","",SUMIF('Daftar Transaksi'!D:D,A1360,'Daftar Transaksi'!F:F))</f>
        <v/>
      </c>
      <c r="F1360" s="54" t="str">
        <f t="shared" si="63"/>
        <v/>
      </c>
      <c r="G1360" s="54" t="str">
        <f t="shared" si="64"/>
        <v/>
      </c>
      <c r="H1360" s="54" t="str">
        <f t="shared" si="65"/>
        <v/>
      </c>
    </row>
    <row r="1361" spans="5:8" x14ac:dyDescent="0.25">
      <c r="E1361" s="54" t="str">
        <f>IF(A1361="","",SUMIF('Daftar Transaksi'!D:D,A1361,'Daftar Transaksi'!F:F))</f>
        <v/>
      </c>
      <c r="F1361" s="54" t="str">
        <f t="shared" si="63"/>
        <v/>
      </c>
      <c r="G1361" s="54" t="str">
        <f t="shared" si="64"/>
        <v/>
      </c>
      <c r="H1361" s="54" t="str">
        <f t="shared" si="65"/>
        <v/>
      </c>
    </row>
    <row r="1362" spans="5:8" x14ac:dyDescent="0.25">
      <c r="E1362" s="54" t="str">
        <f>IF(A1362="","",SUMIF('Daftar Transaksi'!D:D,A1362,'Daftar Transaksi'!F:F))</f>
        <v/>
      </c>
      <c r="F1362" s="54" t="str">
        <f t="shared" si="63"/>
        <v/>
      </c>
      <c r="G1362" s="54" t="str">
        <f t="shared" si="64"/>
        <v/>
      </c>
      <c r="H1362" s="54" t="str">
        <f t="shared" si="65"/>
        <v/>
      </c>
    </row>
    <row r="1363" spans="5:8" x14ac:dyDescent="0.25">
      <c r="E1363" s="54" t="str">
        <f>IF(A1363="","",SUMIF('Daftar Transaksi'!D:D,A1363,'Daftar Transaksi'!F:F))</f>
        <v/>
      </c>
      <c r="F1363" s="54" t="str">
        <f t="shared" si="63"/>
        <v/>
      </c>
      <c r="G1363" s="54" t="str">
        <f t="shared" si="64"/>
        <v/>
      </c>
      <c r="H1363" s="54" t="str">
        <f t="shared" si="65"/>
        <v/>
      </c>
    </row>
    <row r="1364" spans="5:8" x14ac:dyDescent="0.25">
      <c r="E1364" s="54" t="str">
        <f>IF(A1364="","",SUMIF('Daftar Transaksi'!D:D,A1364,'Daftar Transaksi'!F:F))</f>
        <v/>
      </c>
      <c r="F1364" s="54" t="str">
        <f t="shared" si="63"/>
        <v/>
      </c>
      <c r="G1364" s="54" t="str">
        <f t="shared" si="64"/>
        <v/>
      </c>
      <c r="H1364" s="54" t="str">
        <f t="shared" si="65"/>
        <v/>
      </c>
    </row>
    <row r="1365" spans="5:8" x14ac:dyDescent="0.25">
      <c r="E1365" s="54" t="str">
        <f>IF(A1365="","",SUMIF('Daftar Transaksi'!D:D,A1365,'Daftar Transaksi'!F:F))</f>
        <v/>
      </c>
      <c r="F1365" s="54" t="str">
        <f t="shared" si="63"/>
        <v/>
      </c>
      <c r="G1365" s="54" t="str">
        <f t="shared" si="64"/>
        <v/>
      </c>
      <c r="H1365" s="54" t="str">
        <f t="shared" si="65"/>
        <v/>
      </c>
    </row>
    <row r="1366" spans="5:8" x14ac:dyDescent="0.25">
      <c r="E1366" s="54" t="str">
        <f>IF(A1366="","",SUMIF('Daftar Transaksi'!D:D,A1366,'Daftar Transaksi'!F:F))</f>
        <v/>
      </c>
      <c r="F1366" s="54" t="str">
        <f t="shared" si="63"/>
        <v/>
      </c>
      <c r="G1366" s="54" t="str">
        <f t="shared" si="64"/>
        <v/>
      </c>
      <c r="H1366" s="54" t="str">
        <f t="shared" si="65"/>
        <v/>
      </c>
    </row>
    <row r="1367" spans="5:8" x14ac:dyDescent="0.25">
      <c r="E1367" s="54" t="str">
        <f>IF(A1367="","",SUMIF('Daftar Transaksi'!D:D,A1367,'Daftar Transaksi'!F:F))</f>
        <v/>
      </c>
      <c r="F1367" s="54" t="str">
        <f t="shared" si="63"/>
        <v/>
      </c>
      <c r="G1367" s="54" t="str">
        <f t="shared" si="64"/>
        <v/>
      </c>
      <c r="H1367" s="54" t="str">
        <f t="shared" si="65"/>
        <v/>
      </c>
    </row>
    <row r="1368" spans="5:8" x14ac:dyDescent="0.25">
      <c r="E1368" s="54" t="str">
        <f>IF(A1368="","",SUMIF('Daftar Transaksi'!D:D,A1368,'Daftar Transaksi'!F:F))</f>
        <v/>
      </c>
      <c r="F1368" s="54" t="str">
        <f t="shared" si="63"/>
        <v/>
      </c>
      <c r="G1368" s="54" t="str">
        <f t="shared" si="64"/>
        <v/>
      </c>
      <c r="H1368" s="54" t="str">
        <f t="shared" si="65"/>
        <v/>
      </c>
    </row>
    <row r="1369" spans="5:8" x14ac:dyDescent="0.25">
      <c r="E1369" s="54" t="str">
        <f>IF(A1369="","",SUMIF('Daftar Transaksi'!D:D,A1369,'Daftar Transaksi'!F:F))</f>
        <v/>
      </c>
      <c r="F1369" s="54" t="str">
        <f t="shared" si="63"/>
        <v/>
      </c>
      <c r="G1369" s="54" t="str">
        <f t="shared" si="64"/>
        <v/>
      </c>
      <c r="H1369" s="54" t="str">
        <f t="shared" si="65"/>
        <v/>
      </c>
    </row>
    <row r="1370" spans="5:8" x14ac:dyDescent="0.25">
      <c r="E1370" s="54" t="str">
        <f>IF(A1370="","",SUMIF('Daftar Transaksi'!D:D,A1370,'Daftar Transaksi'!F:F))</f>
        <v/>
      </c>
      <c r="F1370" s="54" t="str">
        <f t="shared" si="63"/>
        <v/>
      </c>
      <c r="G1370" s="54" t="str">
        <f t="shared" si="64"/>
        <v/>
      </c>
      <c r="H1370" s="54" t="str">
        <f t="shared" si="65"/>
        <v/>
      </c>
    </row>
    <row r="1371" spans="5:8" x14ac:dyDescent="0.25">
      <c r="E1371" s="54" t="str">
        <f>IF(A1371="","",SUMIF('Daftar Transaksi'!D:D,A1371,'Daftar Transaksi'!F:F))</f>
        <v/>
      </c>
      <c r="F1371" s="54" t="str">
        <f t="shared" si="63"/>
        <v/>
      </c>
      <c r="G1371" s="54" t="str">
        <f t="shared" si="64"/>
        <v/>
      </c>
      <c r="H1371" s="54" t="str">
        <f t="shared" si="65"/>
        <v/>
      </c>
    </row>
    <row r="1372" spans="5:8" x14ac:dyDescent="0.25">
      <c r="E1372" s="54" t="str">
        <f>IF(A1372="","",SUMIF('Daftar Transaksi'!D:D,A1372,'Daftar Transaksi'!F:F))</f>
        <v/>
      </c>
      <c r="F1372" s="54" t="str">
        <f t="shared" si="63"/>
        <v/>
      </c>
      <c r="G1372" s="54" t="str">
        <f t="shared" si="64"/>
        <v/>
      </c>
      <c r="H1372" s="54" t="str">
        <f t="shared" si="65"/>
        <v/>
      </c>
    </row>
    <row r="1373" spans="5:8" x14ac:dyDescent="0.25">
      <c r="E1373" s="54" t="str">
        <f>IF(A1373="","",SUMIF('Daftar Transaksi'!D:D,A1373,'Daftar Transaksi'!F:F))</f>
        <v/>
      </c>
      <c r="F1373" s="54" t="str">
        <f t="shared" si="63"/>
        <v/>
      </c>
      <c r="G1373" s="54" t="str">
        <f t="shared" si="64"/>
        <v/>
      </c>
      <c r="H1373" s="54" t="str">
        <f t="shared" si="65"/>
        <v/>
      </c>
    </row>
    <row r="1374" spans="5:8" x14ac:dyDescent="0.25">
      <c r="E1374" s="54" t="str">
        <f>IF(A1374="","",SUMIF('Daftar Transaksi'!D:D,A1374,'Daftar Transaksi'!F:F))</f>
        <v/>
      </c>
      <c r="F1374" s="54" t="str">
        <f t="shared" si="63"/>
        <v/>
      </c>
      <c r="G1374" s="54" t="str">
        <f t="shared" si="64"/>
        <v/>
      </c>
      <c r="H1374" s="54" t="str">
        <f t="shared" si="65"/>
        <v/>
      </c>
    </row>
    <row r="1375" spans="5:8" x14ac:dyDescent="0.25">
      <c r="E1375" s="54" t="str">
        <f>IF(A1375="","",SUMIF('Daftar Transaksi'!D:D,A1375,'Daftar Transaksi'!F:F))</f>
        <v/>
      </c>
      <c r="F1375" s="54" t="str">
        <f t="shared" si="63"/>
        <v/>
      </c>
      <c r="G1375" s="54" t="str">
        <f t="shared" si="64"/>
        <v/>
      </c>
      <c r="H1375" s="54" t="str">
        <f t="shared" si="65"/>
        <v/>
      </c>
    </row>
    <row r="1376" spans="5:8" x14ac:dyDescent="0.25">
      <c r="E1376" s="54" t="str">
        <f>IF(A1376="","",SUMIF('Daftar Transaksi'!D:D,A1376,'Daftar Transaksi'!F:F))</f>
        <v/>
      </c>
      <c r="F1376" s="54" t="str">
        <f t="shared" si="63"/>
        <v/>
      </c>
      <c r="G1376" s="54" t="str">
        <f t="shared" si="64"/>
        <v/>
      </c>
      <c r="H1376" s="54" t="str">
        <f t="shared" si="65"/>
        <v/>
      </c>
    </row>
    <row r="1377" spans="5:8" x14ac:dyDescent="0.25">
      <c r="E1377" s="54" t="str">
        <f>IF(A1377="","",SUMIF('Daftar Transaksi'!D:D,A1377,'Daftar Transaksi'!F:F))</f>
        <v/>
      </c>
      <c r="F1377" s="54" t="str">
        <f t="shared" si="63"/>
        <v/>
      </c>
      <c r="G1377" s="54" t="str">
        <f t="shared" si="64"/>
        <v/>
      </c>
      <c r="H1377" s="54" t="str">
        <f t="shared" si="65"/>
        <v/>
      </c>
    </row>
    <row r="1378" spans="5:8" x14ac:dyDescent="0.25">
      <c r="E1378" s="54" t="str">
        <f>IF(A1378="","",SUMIF('Daftar Transaksi'!D:D,A1378,'Daftar Transaksi'!F:F))</f>
        <v/>
      </c>
      <c r="F1378" s="54" t="str">
        <f t="shared" si="63"/>
        <v/>
      </c>
      <c r="G1378" s="54" t="str">
        <f t="shared" si="64"/>
        <v/>
      </c>
      <c r="H1378" s="54" t="str">
        <f t="shared" si="65"/>
        <v/>
      </c>
    </row>
    <row r="1379" spans="5:8" x14ac:dyDescent="0.25">
      <c r="E1379" s="54" t="str">
        <f>IF(A1379="","",SUMIF('Daftar Transaksi'!D:D,A1379,'Daftar Transaksi'!F:F))</f>
        <v/>
      </c>
      <c r="F1379" s="54" t="str">
        <f t="shared" si="63"/>
        <v/>
      </c>
      <c r="G1379" s="54" t="str">
        <f t="shared" si="64"/>
        <v/>
      </c>
      <c r="H1379" s="54" t="str">
        <f t="shared" si="65"/>
        <v/>
      </c>
    </row>
    <row r="1380" spans="5:8" x14ac:dyDescent="0.25">
      <c r="E1380" s="54" t="str">
        <f>IF(A1380="","",SUMIF('Daftar Transaksi'!D:D,A1380,'Daftar Transaksi'!F:F))</f>
        <v/>
      </c>
      <c r="F1380" s="54" t="str">
        <f t="shared" si="63"/>
        <v/>
      </c>
      <c r="G1380" s="54" t="str">
        <f t="shared" si="64"/>
        <v/>
      </c>
      <c r="H1380" s="54" t="str">
        <f t="shared" si="65"/>
        <v/>
      </c>
    </row>
    <row r="1381" spans="5:8" x14ac:dyDescent="0.25">
      <c r="E1381" s="54" t="str">
        <f>IF(A1381="","",SUMIF('Daftar Transaksi'!D:D,A1381,'Daftar Transaksi'!F:F))</f>
        <v/>
      </c>
      <c r="F1381" s="54" t="str">
        <f t="shared" si="63"/>
        <v/>
      </c>
      <c r="G1381" s="54" t="str">
        <f t="shared" si="64"/>
        <v/>
      </c>
      <c r="H1381" s="54" t="str">
        <f t="shared" si="65"/>
        <v/>
      </c>
    </row>
    <row r="1382" spans="5:8" x14ac:dyDescent="0.25">
      <c r="E1382" s="54" t="str">
        <f>IF(A1382="","",SUMIF('Daftar Transaksi'!D:D,A1382,'Daftar Transaksi'!F:F))</f>
        <v/>
      </c>
      <c r="F1382" s="54" t="str">
        <f t="shared" si="63"/>
        <v/>
      </c>
      <c r="G1382" s="54" t="str">
        <f t="shared" si="64"/>
        <v/>
      </c>
      <c r="H1382" s="54" t="str">
        <f t="shared" si="65"/>
        <v/>
      </c>
    </row>
    <row r="1383" spans="5:8" x14ac:dyDescent="0.25">
      <c r="E1383" s="54" t="str">
        <f>IF(A1383="","",SUMIF('Daftar Transaksi'!D:D,A1383,'Daftar Transaksi'!F:F))</f>
        <v/>
      </c>
      <c r="F1383" s="54" t="str">
        <f t="shared" si="63"/>
        <v/>
      </c>
      <c r="G1383" s="54" t="str">
        <f t="shared" si="64"/>
        <v/>
      </c>
      <c r="H1383" s="54" t="str">
        <f t="shared" si="65"/>
        <v/>
      </c>
    </row>
    <row r="1384" spans="5:8" x14ac:dyDescent="0.25">
      <c r="E1384" s="54" t="str">
        <f>IF(A1384="","",SUMIF('Daftar Transaksi'!D:D,A1384,'Daftar Transaksi'!F:F))</f>
        <v/>
      </c>
      <c r="F1384" s="54" t="str">
        <f t="shared" si="63"/>
        <v/>
      </c>
      <c r="G1384" s="54" t="str">
        <f t="shared" si="64"/>
        <v/>
      </c>
      <c r="H1384" s="54" t="str">
        <f t="shared" si="65"/>
        <v/>
      </c>
    </row>
    <row r="1385" spans="5:8" x14ac:dyDescent="0.25">
      <c r="E1385" s="54" t="str">
        <f>IF(A1385="","",SUMIF('Daftar Transaksi'!D:D,A1385,'Daftar Transaksi'!F:F))</f>
        <v/>
      </c>
      <c r="F1385" s="54" t="str">
        <f t="shared" si="63"/>
        <v/>
      </c>
      <c r="G1385" s="54" t="str">
        <f t="shared" si="64"/>
        <v/>
      </c>
      <c r="H1385" s="54" t="str">
        <f t="shared" si="65"/>
        <v/>
      </c>
    </row>
    <row r="1386" spans="5:8" x14ac:dyDescent="0.25">
      <c r="E1386" s="54" t="str">
        <f>IF(A1386="","",SUMIF('Daftar Transaksi'!D:D,A1386,'Daftar Transaksi'!F:F))</f>
        <v/>
      </c>
      <c r="F1386" s="54" t="str">
        <f t="shared" si="63"/>
        <v/>
      </c>
      <c r="G1386" s="54" t="str">
        <f t="shared" si="64"/>
        <v/>
      </c>
      <c r="H1386" s="54" t="str">
        <f t="shared" si="65"/>
        <v/>
      </c>
    </row>
    <row r="1387" spans="5:8" x14ac:dyDescent="0.25">
      <c r="E1387" s="54" t="str">
        <f>IF(A1387="","",SUMIF('Daftar Transaksi'!D:D,A1387,'Daftar Transaksi'!F:F))</f>
        <v/>
      </c>
      <c r="F1387" s="54" t="str">
        <f t="shared" si="63"/>
        <v/>
      </c>
      <c r="G1387" s="54" t="str">
        <f t="shared" si="64"/>
        <v/>
      </c>
      <c r="H1387" s="54" t="str">
        <f t="shared" si="65"/>
        <v/>
      </c>
    </row>
    <row r="1388" spans="5:8" x14ac:dyDescent="0.25">
      <c r="E1388" s="54" t="str">
        <f>IF(A1388="","",SUMIF('Daftar Transaksi'!D:D,A1388,'Daftar Transaksi'!F:F))</f>
        <v/>
      </c>
      <c r="F1388" s="54" t="str">
        <f t="shared" si="63"/>
        <v/>
      </c>
      <c r="G1388" s="54" t="str">
        <f t="shared" si="64"/>
        <v/>
      </c>
      <c r="H1388" s="54" t="str">
        <f t="shared" si="65"/>
        <v/>
      </c>
    </row>
    <row r="1389" spans="5:8" x14ac:dyDescent="0.25">
      <c r="E1389" s="54" t="str">
        <f>IF(A1389="","",SUMIF('Daftar Transaksi'!D:D,A1389,'Daftar Transaksi'!F:F))</f>
        <v/>
      </c>
      <c r="F1389" s="54" t="str">
        <f t="shared" si="63"/>
        <v/>
      </c>
      <c r="G1389" s="54" t="str">
        <f t="shared" si="64"/>
        <v/>
      </c>
      <c r="H1389" s="54" t="str">
        <f t="shared" si="65"/>
        <v/>
      </c>
    </row>
    <row r="1390" spans="5:8" x14ac:dyDescent="0.25">
      <c r="E1390" s="54" t="str">
        <f>IF(A1390="","",SUMIF('Daftar Transaksi'!D:D,A1390,'Daftar Transaksi'!F:F))</f>
        <v/>
      </c>
      <c r="F1390" s="54" t="str">
        <f t="shared" si="63"/>
        <v/>
      </c>
      <c r="G1390" s="54" t="str">
        <f t="shared" si="64"/>
        <v/>
      </c>
      <c r="H1390" s="54" t="str">
        <f t="shared" si="65"/>
        <v/>
      </c>
    </row>
    <row r="1391" spans="5:8" x14ac:dyDescent="0.25">
      <c r="E1391" s="54" t="str">
        <f>IF(A1391="","",SUMIF('Daftar Transaksi'!D:D,A1391,'Daftar Transaksi'!F:F))</f>
        <v/>
      </c>
      <c r="F1391" s="54" t="str">
        <f t="shared" si="63"/>
        <v/>
      </c>
      <c r="G1391" s="54" t="str">
        <f t="shared" si="64"/>
        <v/>
      </c>
      <c r="H1391" s="54" t="str">
        <f t="shared" si="65"/>
        <v/>
      </c>
    </row>
    <row r="1392" spans="5:8" x14ac:dyDescent="0.25">
      <c r="E1392" s="54" t="str">
        <f>IF(A1392="","",SUMIF('Daftar Transaksi'!D:D,A1392,'Daftar Transaksi'!F:F))</f>
        <v/>
      </c>
      <c r="F1392" s="54" t="str">
        <f t="shared" si="63"/>
        <v/>
      </c>
      <c r="G1392" s="54" t="str">
        <f t="shared" si="64"/>
        <v/>
      </c>
      <c r="H1392" s="54" t="str">
        <f t="shared" si="65"/>
        <v/>
      </c>
    </row>
    <row r="1393" spans="5:8" x14ac:dyDescent="0.25">
      <c r="E1393" s="54" t="str">
        <f>IF(A1393="","",SUMIF('Daftar Transaksi'!D:D,A1393,'Daftar Transaksi'!F:F))</f>
        <v/>
      </c>
      <c r="F1393" s="54" t="str">
        <f t="shared" si="63"/>
        <v/>
      </c>
      <c r="G1393" s="54" t="str">
        <f t="shared" si="64"/>
        <v/>
      </c>
      <c r="H1393" s="54" t="str">
        <f t="shared" si="65"/>
        <v/>
      </c>
    </row>
    <row r="1394" spans="5:8" x14ac:dyDescent="0.25">
      <c r="E1394" s="54" t="str">
        <f>IF(A1394="","",SUMIF('Daftar Transaksi'!D:D,A1394,'Daftar Transaksi'!F:F))</f>
        <v/>
      </c>
      <c r="F1394" s="54" t="str">
        <f t="shared" si="63"/>
        <v/>
      </c>
      <c r="G1394" s="54" t="str">
        <f t="shared" si="64"/>
        <v/>
      </c>
      <c r="H1394" s="54" t="str">
        <f t="shared" si="65"/>
        <v/>
      </c>
    </row>
    <row r="1395" spans="5:8" x14ac:dyDescent="0.25">
      <c r="E1395" s="54" t="str">
        <f>IF(A1395="","",SUMIF('Daftar Transaksi'!D:D,A1395,'Daftar Transaksi'!F:F))</f>
        <v/>
      </c>
      <c r="F1395" s="54" t="str">
        <f t="shared" si="63"/>
        <v/>
      </c>
      <c r="G1395" s="54" t="str">
        <f t="shared" si="64"/>
        <v/>
      </c>
      <c r="H1395" s="54" t="str">
        <f t="shared" si="65"/>
        <v/>
      </c>
    </row>
    <row r="1396" spans="5:8" x14ac:dyDescent="0.25">
      <c r="E1396" s="54" t="str">
        <f>IF(A1396="","",SUMIF('Daftar Transaksi'!D:D,A1396,'Daftar Transaksi'!F:F))</f>
        <v/>
      </c>
      <c r="F1396" s="54" t="str">
        <f t="shared" si="63"/>
        <v/>
      </c>
      <c r="G1396" s="54" t="str">
        <f t="shared" si="64"/>
        <v/>
      </c>
      <c r="H1396" s="54" t="str">
        <f t="shared" si="65"/>
        <v/>
      </c>
    </row>
    <row r="1397" spans="5:8" x14ac:dyDescent="0.25">
      <c r="E1397" s="54" t="str">
        <f>IF(A1397="","",SUMIF('Daftar Transaksi'!D:D,A1397,'Daftar Transaksi'!F:F))</f>
        <v/>
      </c>
      <c r="F1397" s="54" t="str">
        <f t="shared" si="63"/>
        <v/>
      </c>
      <c r="G1397" s="54" t="str">
        <f t="shared" si="64"/>
        <v/>
      </c>
      <c r="H1397" s="54" t="str">
        <f t="shared" si="65"/>
        <v/>
      </c>
    </row>
    <row r="1398" spans="5:8" x14ac:dyDescent="0.25">
      <c r="E1398" s="54" t="str">
        <f>IF(A1398="","",SUMIF('Daftar Transaksi'!D:D,A1398,'Daftar Transaksi'!F:F))</f>
        <v/>
      </c>
      <c r="F1398" s="54" t="str">
        <f t="shared" si="63"/>
        <v/>
      </c>
      <c r="G1398" s="54" t="str">
        <f t="shared" si="64"/>
        <v/>
      </c>
      <c r="H1398" s="54" t="str">
        <f t="shared" si="65"/>
        <v/>
      </c>
    </row>
    <row r="1399" spans="5:8" x14ac:dyDescent="0.25">
      <c r="E1399" s="54" t="str">
        <f>IF(A1399="","",SUMIF('Daftar Transaksi'!D:D,A1399,'Daftar Transaksi'!F:F))</f>
        <v/>
      </c>
      <c r="F1399" s="54" t="str">
        <f t="shared" si="63"/>
        <v/>
      </c>
      <c r="G1399" s="54" t="str">
        <f t="shared" si="64"/>
        <v/>
      </c>
      <c r="H1399" s="54" t="str">
        <f t="shared" si="65"/>
        <v/>
      </c>
    </row>
    <row r="1400" spans="5:8" x14ac:dyDescent="0.25">
      <c r="E1400" s="54" t="str">
        <f>IF(A1400="","",SUMIF('Daftar Transaksi'!D:D,A1400,'Daftar Transaksi'!F:F))</f>
        <v/>
      </c>
      <c r="F1400" s="54" t="str">
        <f t="shared" si="63"/>
        <v/>
      </c>
      <c r="G1400" s="54" t="str">
        <f t="shared" si="64"/>
        <v/>
      </c>
      <c r="H1400" s="54" t="str">
        <f t="shared" si="65"/>
        <v/>
      </c>
    </row>
    <row r="1401" spans="5:8" x14ac:dyDescent="0.25">
      <c r="E1401" s="54" t="str">
        <f>IF(A1401="","",SUMIF('Daftar Transaksi'!D:D,A1401,'Daftar Transaksi'!F:F))</f>
        <v/>
      </c>
      <c r="F1401" s="54" t="str">
        <f t="shared" si="63"/>
        <v/>
      </c>
      <c r="G1401" s="54" t="str">
        <f t="shared" si="64"/>
        <v/>
      </c>
      <c r="H1401" s="54" t="str">
        <f t="shared" si="65"/>
        <v/>
      </c>
    </row>
    <row r="1402" spans="5:8" x14ac:dyDescent="0.25">
      <c r="E1402" s="54" t="str">
        <f>IF(A1402="","",SUMIF('Daftar Transaksi'!D:D,A1402,'Daftar Transaksi'!F:F))</f>
        <v/>
      </c>
      <c r="F1402" s="54" t="str">
        <f t="shared" si="63"/>
        <v/>
      </c>
      <c r="G1402" s="54" t="str">
        <f t="shared" si="64"/>
        <v/>
      </c>
      <c r="H1402" s="54" t="str">
        <f t="shared" si="65"/>
        <v/>
      </c>
    </row>
    <row r="1403" spans="5:8" x14ac:dyDescent="0.25">
      <c r="E1403" s="54" t="str">
        <f>IF(A1403="","",SUMIF('Daftar Transaksi'!D:D,A1403,'Daftar Transaksi'!F:F))</f>
        <v/>
      </c>
      <c r="F1403" s="54" t="str">
        <f t="shared" si="63"/>
        <v/>
      </c>
      <c r="G1403" s="54" t="str">
        <f t="shared" si="64"/>
        <v/>
      </c>
      <c r="H1403" s="54" t="str">
        <f t="shared" si="65"/>
        <v/>
      </c>
    </row>
    <row r="1404" spans="5:8" x14ac:dyDescent="0.25">
      <c r="E1404" s="54" t="str">
        <f>IF(A1404="","",SUMIF('Daftar Transaksi'!D:D,A1404,'Daftar Transaksi'!F:F))</f>
        <v/>
      </c>
      <c r="F1404" s="54" t="str">
        <f t="shared" si="63"/>
        <v/>
      </c>
      <c r="G1404" s="54" t="str">
        <f t="shared" si="64"/>
        <v/>
      </c>
      <c r="H1404" s="54" t="str">
        <f t="shared" si="65"/>
        <v/>
      </c>
    </row>
    <row r="1405" spans="5:8" x14ac:dyDescent="0.25">
      <c r="E1405" s="54" t="str">
        <f>IF(A1405="","",SUMIF('Daftar Transaksi'!D:D,A1405,'Daftar Transaksi'!F:F))</f>
        <v/>
      </c>
      <c r="F1405" s="54" t="str">
        <f t="shared" si="63"/>
        <v/>
      </c>
      <c r="G1405" s="54" t="str">
        <f t="shared" si="64"/>
        <v/>
      </c>
      <c r="H1405" s="54" t="str">
        <f t="shared" si="65"/>
        <v/>
      </c>
    </row>
    <row r="1406" spans="5:8" x14ac:dyDescent="0.25">
      <c r="E1406" s="54" t="str">
        <f>IF(A1406="","",SUMIF('Daftar Transaksi'!D:D,A1406,'Daftar Transaksi'!F:F))</f>
        <v/>
      </c>
      <c r="F1406" s="54" t="str">
        <f t="shared" si="63"/>
        <v/>
      </c>
      <c r="G1406" s="54" t="str">
        <f t="shared" si="64"/>
        <v/>
      </c>
      <c r="H1406" s="54" t="str">
        <f t="shared" si="65"/>
        <v/>
      </c>
    </row>
    <row r="1407" spans="5:8" x14ac:dyDescent="0.25">
      <c r="E1407" s="54" t="str">
        <f>IF(A1407="","",SUMIF('Daftar Transaksi'!D:D,A1407,'Daftar Transaksi'!F:F))</f>
        <v/>
      </c>
      <c r="F1407" s="54" t="str">
        <f t="shared" ref="F1407:F1470" si="66">IF(A1407="","",D1407-E1407)</f>
        <v/>
      </c>
      <c r="G1407" s="54" t="str">
        <f t="shared" ref="G1407:G1470" si="67">IF(A1407="","",C1407*E1407)</f>
        <v/>
      </c>
      <c r="H1407" s="54" t="str">
        <f t="shared" ref="H1407:H1470" si="68">IF(A1407="","",G1407-(B1407*E1407))</f>
        <v/>
      </c>
    </row>
    <row r="1408" spans="5:8" x14ac:dyDescent="0.25">
      <c r="E1408" s="54" t="str">
        <f>IF(A1408="","",SUMIF('Daftar Transaksi'!D:D,A1408,'Daftar Transaksi'!F:F))</f>
        <v/>
      </c>
      <c r="F1408" s="54" t="str">
        <f t="shared" si="66"/>
        <v/>
      </c>
      <c r="G1408" s="54" t="str">
        <f t="shared" si="67"/>
        <v/>
      </c>
      <c r="H1408" s="54" t="str">
        <f t="shared" si="68"/>
        <v/>
      </c>
    </row>
    <row r="1409" spans="5:8" x14ac:dyDescent="0.25">
      <c r="E1409" s="54" t="str">
        <f>IF(A1409="","",SUMIF('Daftar Transaksi'!D:D,A1409,'Daftar Transaksi'!F:F))</f>
        <v/>
      </c>
      <c r="F1409" s="54" t="str">
        <f t="shared" si="66"/>
        <v/>
      </c>
      <c r="G1409" s="54" t="str">
        <f t="shared" si="67"/>
        <v/>
      </c>
      <c r="H1409" s="54" t="str">
        <f t="shared" si="68"/>
        <v/>
      </c>
    </row>
    <row r="1410" spans="5:8" x14ac:dyDescent="0.25">
      <c r="E1410" s="54" t="str">
        <f>IF(A1410="","",SUMIF('Daftar Transaksi'!D:D,A1410,'Daftar Transaksi'!F:F))</f>
        <v/>
      </c>
      <c r="F1410" s="54" t="str">
        <f t="shared" si="66"/>
        <v/>
      </c>
      <c r="G1410" s="54" t="str">
        <f t="shared" si="67"/>
        <v/>
      </c>
      <c r="H1410" s="54" t="str">
        <f t="shared" si="68"/>
        <v/>
      </c>
    </row>
    <row r="1411" spans="5:8" x14ac:dyDescent="0.25">
      <c r="E1411" s="54" t="str">
        <f>IF(A1411="","",SUMIF('Daftar Transaksi'!D:D,A1411,'Daftar Transaksi'!F:F))</f>
        <v/>
      </c>
      <c r="F1411" s="54" t="str">
        <f t="shared" si="66"/>
        <v/>
      </c>
      <c r="G1411" s="54" t="str">
        <f t="shared" si="67"/>
        <v/>
      </c>
      <c r="H1411" s="54" t="str">
        <f t="shared" si="68"/>
        <v/>
      </c>
    </row>
    <row r="1412" spans="5:8" x14ac:dyDescent="0.25">
      <c r="E1412" s="54" t="str">
        <f>IF(A1412="","",SUMIF('Daftar Transaksi'!D:D,A1412,'Daftar Transaksi'!F:F))</f>
        <v/>
      </c>
      <c r="F1412" s="54" t="str">
        <f t="shared" si="66"/>
        <v/>
      </c>
      <c r="G1412" s="54" t="str">
        <f t="shared" si="67"/>
        <v/>
      </c>
      <c r="H1412" s="54" t="str">
        <f t="shared" si="68"/>
        <v/>
      </c>
    </row>
    <row r="1413" spans="5:8" x14ac:dyDescent="0.25">
      <c r="E1413" s="54" t="str">
        <f>IF(A1413="","",SUMIF('Daftar Transaksi'!D:D,A1413,'Daftar Transaksi'!F:F))</f>
        <v/>
      </c>
      <c r="F1413" s="54" t="str">
        <f t="shared" si="66"/>
        <v/>
      </c>
      <c r="G1413" s="54" t="str">
        <f t="shared" si="67"/>
        <v/>
      </c>
      <c r="H1413" s="54" t="str">
        <f t="shared" si="68"/>
        <v/>
      </c>
    </row>
    <row r="1414" spans="5:8" x14ac:dyDescent="0.25">
      <c r="E1414" s="54" t="str">
        <f>IF(A1414="","",SUMIF('Daftar Transaksi'!D:D,A1414,'Daftar Transaksi'!F:F))</f>
        <v/>
      </c>
      <c r="F1414" s="54" t="str">
        <f t="shared" si="66"/>
        <v/>
      </c>
      <c r="G1414" s="54" t="str">
        <f t="shared" si="67"/>
        <v/>
      </c>
      <c r="H1414" s="54" t="str">
        <f t="shared" si="68"/>
        <v/>
      </c>
    </row>
    <row r="1415" spans="5:8" x14ac:dyDescent="0.25">
      <c r="E1415" s="54" t="str">
        <f>IF(A1415="","",SUMIF('Daftar Transaksi'!D:D,A1415,'Daftar Transaksi'!F:F))</f>
        <v/>
      </c>
      <c r="F1415" s="54" t="str">
        <f t="shared" si="66"/>
        <v/>
      </c>
      <c r="G1415" s="54" t="str">
        <f t="shared" si="67"/>
        <v/>
      </c>
      <c r="H1415" s="54" t="str">
        <f t="shared" si="68"/>
        <v/>
      </c>
    </row>
    <row r="1416" spans="5:8" x14ac:dyDescent="0.25">
      <c r="E1416" s="54" t="str">
        <f>IF(A1416="","",SUMIF('Daftar Transaksi'!D:D,A1416,'Daftar Transaksi'!F:F))</f>
        <v/>
      </c>
      <c r="F1416" s="54" t="str">
        <f t="shared" si="66"/>
        <v/>
      </c>
      <c r="G1416" s="54" t="str">
        <f t="shared" si="67"/>
        <v/>
      </c>
      <c r="H1416" s="54" t="str">
        <f t="shared" si="68"/>
        <v/>
      </c>
    </row>
    <row r="1417" spans="5:8" x14ac:dyDescent="0.25">
      <c r="E1417" s="54" t="str">
        <f>IF(A1417="","",SUMIF('Daftar Transaksi'!D:D,A1417,'Daftar Transaksi'!F:F))</f>
        <v/>
      </c>
      <c r="F1417" s="54" t="str">
        <f t="shared" si="66"/>
        <v/>
      </c>
      <c r="G1417" s="54" t="str">
        <f t="shared" si="67"/>
        <v/>
      </c>
      <c r="H1417" s="54" t="str">
        <f t="shared" si="68"/>
        <v/>
      </c>
    </row>
    <row r="1418" spans="5:8" x14ac:dyDescent="0.25">
      <c r="E1418" s="54" t="str">
        <f>IF(A1418="","",SUMIF('Daftar Transaksi'!D:D,A1418,'Daftar Transaksi'!F:F))</f>
        <v/>
      </c>
      <c r="F1418" s="54" t="str">
        <f t="shared" si="66"/>
        <v/>
      </c>
      <c r="G1418" s="54" t="str">
        <f t="shared" si="67"/>
        <v/>
      </c>
      <c r="H1418" s="54" t="str">
        <f t="shared" si="68"/>
        <v/>
      </c>
    </row>
    <row r="1419" spans="5:8" x14ac:dyDescent="0.25">
      <c r="E1419" s="54" t="str">
        <f>IF(A1419="","",SUMIF('Daftar Transaksi'!D:D,A1419,'Daftar Transaksi'!F:F))</f>
        <v/>
      </c>
      <c r="F1419" s="54" t="str">
        <f t="shared" si="66"/>
        <v/>
      </c>
      <c r="G1419" s="54" t="str">
        <f t="shared" si="67"/>
        <v/>
      </c>
      <c r="H1419" s="54" t="str">
        <f t="shared" si="68"/>
        <v/>
      </c>
    </row>
    <row r="1420" spans="5:8" x14ac:dyDescent="0.25">
      <c r="E1420" s="54" t="str">
        <f>IF(A1420="","",SUMIF('Daftar Transaksi'!D:D,A1420,'Daftar Transaksi'!F:F))</f>
        <v/>
      </c>
      <c r="F1420" s="54" t="str">
        <f t="shared" si="66"/>
        <v/>
      </c>
      <c r="G1420" s="54" t="str">
        <f t="shared" si="67"/>
        <v/>
      </c>
      <c r="H1420" s="54" t="str">
        <f t="shared" si="68"/>
        <v/>
      </c>
    </row>
    <row r="1421" spans="5:8" x14ac:dyDescent="0.25">
      <c r="E1421" s="54" t="str">
        <f>IF(A1421="","",SUMIF('Daftar Transaksi'!D:D,A1421,'Daftar Transaksi'!F:F))</f>
        <v/>
      </c>
      <c r="F1421" s="54" t="str">
        <f t="shared" si="66"/>
        <v/>
      </c>
      <c r="G1421" s="54" t="str">
        <f t="shared" si="67"/>
        <v/>
      </c>
      <c r="H1421" s="54" t="str">
        <f t="shared" si="68"/>
        <v/>
      </c>
    </row>
    <row r="1422" spans="5:8" x14ac:dyDescent="0.25">
      <c r="E1422" s="54" t="str">
        <f>IF(A1422="","",SUMIF('Daftar Transaksi'!D:D,A1422,'Daftar Transaksi'!F:F))</f>
        <v/>
      </c>
      <c r="F1422" s="54" t="str">
        <f t="shared" si="66"/>
        <v/>
      </c>
      <c r="G1422" s="54" t="str">
        <f t="shared" si="67"/>
        <v/>
      </c>
      <c r="H1422" s="54" t="str">
        <f t="shared" si="68"/>
        <v/>
      </c>
    </row>
    <row r="1423" spans="5:8" x14ac:dyDescent="0.25">
      <c r="E1423" s="54" t="str">
        <f>IF(A1423="","",SUMIF('Daftar Transaksi'!D:D,A1423,'Daftar Transaksi'!F:F))</f>
        <v/>
      </c>
      <c r="F1423" s="54" t="str">
        <f t="shared" si="66"/>
        <v/>
      </c>
      <c r="G1423" s="54" t="str">
        <f t="shared" si="67"/>
        <v/>
      </c>
      <c r="H1423" s="54" t="str">
        <f t="shared" si="68"/>
        <v/>
      </c>
    </row>
    <row r="1424" spans="5:8" x14ac:dyDescent="0.25">
      <c r="E1424" s="54" t="str">
        <f>IF(A1424="","",SUMIF('Daftar Transaksi'!D:D,A1424,'Daftar Transaksi'!F:F))</f>
        <v/>
      </c>
      <c r="F1424" s="54" t="str">
        <f t="shared" si="66"/>
        <v/>
      </c>
      <c r="G1424" s="54" t="str">
        <f t="shared" si="67"/>
        <v/>
      </c>
      <c r="H1424" s="54" t="str">
        <f t="shared" si="68"/>
        <v/>
      </c>
    </row>
    <row r="1425" spans="5:8" x14ac:dyDescent="0.25">
      <c r="E1425" s="54" t="str">
        <f>IF(A1425="","",SUMIF('Daftar Transaksi'!D:D,A1425,'Daftar Transaksi'!F:F))</f>
        <v/>
      </c>
      <c r="F1425" s="54" t="str">
        <f t="shared" si="66"/>
        <v/>
      </c>
      <c r="G1425" s="54" t="str">
        <f t="shared" si="67"/>
        <v/>
      </c>
      <c r="H1425" s="54" t="str">
        <f t="shared" si="68"/>
        <v/>
      </c>
    </row>
    <row r="1426" spans="5:8" x14ac:dyDescent="0.25">
      <c r="E1426" s="54" t="str">
        <f>IF(A1426="","",SUMIF('Daftar Transaksi'!D:D,A1426,'Daftar Transaksi'!F:F))</f>
        <v/>
      </c>
      <c r="F1426" s="54" t="str">
        <f t="shared" si="66"/>
        <v/>
      </c>
      <c r="G1426" s="54" t="str">
        <f t="shared" si="67"/>
        <v/>
      </c>
      <c r="H1426" s="54" t="str">
        <f t="shared" si="68"/>
        <v/>
      </c>
    </row>
    <row r="1427" spans="5:8" x14ac:dyDescent="0.25">
      <c r="E1427" s="54" t="str">
        <f>IF(A1427="","",SUMIF('Daftar Transaksi'!D:D,A1427,'Daftar Transaksi'!F:F))</f>
        <v/>
      </c>
      <c r="F1427" s="54" t="str">
        <f t="shared" si="66"/>
        <v/>
      </c>
      <c r="G1427" s="54" t="str">
        <f t="shared" si="67"/>
        <v/>
      </c>
      <c r="H1427" s="54" t="str">
        <f t="shared" si="68"/>
        <v/>
      </c>
    </row>
    <row r="1428" spans="5:8" x14ac:dyDescent="0.25">
      <c r="E1428" s="54" t="str">
        <f>IF(A1428="","",SUMIF('Daftar Transaksi'!D:D,A1428,'Daftar Transaksi'!F:F))</f>
        <v/>
      </c>
      <c r="F1428" s="54" t="str">
        <f t="shared" si="66"/>
        <v/>
      </c>
      <c r="G1428" s="54" t="str">
        <f t="shared" si="67"/>
        <v/>
      </c>
      <c r="H1428" s="54" t="str">
        <f t="shared" si="68"/>
        <v/>
      </c>
    </row>
    <row r="1429" spans="5:8" x14ac:dyDescent="0.25">
      <c r="E1429" s="54" t="str">
        <f>IF(A1429="","",SUMIF('Daftar Transaksi'!D:D,A1429,'Daftar Transaksi'!F:F))</f>
        <v/>
      </c>
      <c r="F1429" s="54" t="str">
        <f t="shared" si="66"/>
        <v/>
      </c>
      <c r="G1429" s="54" t="str">
        <f t="shared" si="67"/>
        <v/>
      </c>
      <c r="H1429" s="54" t="str">
        <f t="shared" si="68"/>
        <v/>
      </c>
    </row>
    <row r="1430" spans="5:8" x14ac:dyDescent="0.25">
      <c r="E1430" s="54" t="str">
        <f>IF(A1430="","",SUMIF('Daftar Transaksi'!D:D,A1430,'Daftar Transaksi'!F:F))</f>
        <v/>
      </c>
      <c r="F1430" s="54" t="str">
        <f t="shared" si="66"/>
        <v/>
      </c>
      <c r="G1430" s="54" t="str">
        <f t="shared" si="67"/>
        <v/>
      </c>
      <c r="H1430" s="54" t="str">
        <f t="shared" si="68"/>
        <v/>
      </c>
    </row>
    <row r="1431" spans="5:8" x14ac:dyDescent="0.25">
      <c r="E1431" s="54" t="str">
        <f>IF(A1431="","",SUMIF('Daftar Transaksi'!D:D,A1431,'Daftar Transaksi'!F:F))</f>
        <v/>
      </c>
      <c r="F1431" s="54" t="str">
        <f t="shared" si="66"/>
        <v/>
      </c>
      <c r="G1431" s="54" t="str">
        <f t="shared" si="67"/>
        <v/>
      </c>
      <c r="H1431" s="54" t="str">
        <f t="shared" si="68"/>
        <v/>
      </c>
    </row>
    <row r="1432" spans="5:8" x14ac:dyDescent="0.25">
      <c r="E1432" s="54" t="str">
        <f>IF(A1432="","",SUMIF('Daftar Transaksi'!D:D,A1432,'Daftar Transaksi'!F:F))</f>
        <v/>
      </c>
      <c r="F1432" s="54" t="str">
        <f t="shared" si="66"/>
        <v/>
      </c>
      <c r="G1432" s="54" t="str">
        <f t="shared" si="67"/>
        <v/>
      </c>
      <c r="H1432" s="54" t="str">
        <f t="shared" si="68"/>
        <v/>
      </c>
    </row>
    <row r="1433" spans="5:8" x14ac:dyDescent="0.25">
      <c r="E1433" s="54" t="str">
        <f>IF(A1433="","",SUMIF('Daftar Transaksi'!D:D,A1433,'Daftar Transaksi'!F:F))</f>
        <v/>
      </c>
      <c r="F1433" s="54" t="str">
        <f t="shared" si="66"/>
        <v/>
      </c>
      <c r="G1433" s="54" t="str">
        <f t="shared" si="67"/>
        <v/>
      </c>
      <c r="H1433" s="54" t="str">
        <f t="shared" si="68"/>
        <v/>
      </c>
    </row>
    <row r="1434" spans="5:8" x14ac:dyDescent="0.25">
      <c r="E1434" s="54" t="str">
        <f>IF(A1434="","",SUMIF('Daftar Transaksi'!D:D,A1434,'Daftar Transaksi'!F:F))</f>
        <v/>
      </c>
      <c r="F1434" s="54" t="str">
        <f t="shared" si="66"/>
        <v/>
      </c>
      <c r="G1434" s="54" t="str">
        <f t="shared" si="67"/>
        <v/>
      </c>
      <c r="H1434" s="54" t="str">
        <f t="shared" si="68"/>
        <v/>
      </c>
    </row>
    <row r="1435" spans="5:8" x14ac:dyDescent="0.25">
      <c r="E1435" s="54" t="str">
        <f>IF(A1435="","",SUMIF('Daftar Transaksi'!D:D,A1435,'Daftar Transaksi'!F:F))</f>
        <v/>
      </c>
      <c r="F1435" s="54" t="str">
        <f t="shared" si="66"/>
        <v/>
      </c>
      <c r="G1435" s="54" t="str">
        <f t="shared" si="67"/>
        <v/>
      </c>
      <c r="H1435" s="54" t="str">
        <f t="shared" si="68"/>
        <v/>
      </c>
    </row>
    <row r="1436" spans="5:8" x14ac:dyDescent="0.25">
      <c r="E1436" s="54" t="str">
        <f>IF(A1436="","",SUMIF('Daftar Transaksi'!D:D,A1436,'Daftar Transaksi'!F:F))</f>
        <v/>
      </c>
      <c r="F1436" s="54" t="str">
        <f t="shared" si="66"/>
        <v/>
      </c>
      <c r="G1436" s="54" t="str">
        <f t="shared" si="67"/>
        <v/>
      </c>
      <c r="H1436" s="54" t="str">
        <f t="shared" si="68"/>
        <v/>
      </c>
    </row>
    <row r="1437" spans="5:8" x14ac:dyDescent="0.25">
      <c r="E1437" s="54" t="str">
        <f>IF(A1437="","",SUMIF('Daftar Transaksi'!D:D,A1437,'Daftar Transaksi'!F:F))</f>
        <v/>
      </c>
      <c r="F1437" s="54" t="str">
        <f t="shared" si="66"/>
        <v/>
      </c>
      <c r="G1437" s="54" t="str">
        <f t="shared" si="67"/>
        <v/>
      </c>
      <c r="H1437" s="54" t="str">
        <f t="shared" si="68"/>
        <v/>
      </c>
    </row>
    <row r="1438" spans="5:8" x14ac:dyDescent="0.25">
      <c r="E1438" s="54" t="str">
        <f>IF(A1438="","",SUMIF('Daftar Transaksi'!D:D,A1438,'Daftar Transaksi'!F:F))</f>
        <v/>
      </c>
      <c r="F1438" s="54" t="str">
        <f t="shared" si="66"/>
        <v/>
      </c>
      <c r="G1438" s="54" t="str">
        <f t="shared" si="67"/>
        <v/>
      </c>
      <c r="H1438" s="54" t="str">
        <f t="shared" si="68"/>
        <v/>
      </c>
    </row>
    <row r="1439" spans="5:8" x14ac:dyDescent="0.25">
      <c r="E1439" s="54" t="str">
        <f>IF(A1439="","",SUMIF('Daftar Transaksi'!D:D,A1439,'Daftar Transaksi'!F:F))</f>
        <v/>
      </c>
      <c r="F1439" s="54" t="str">
        <f t="shared" si="66"/>
        <v/>
      </c>
      <c r="G1439" s="54" t="str">
        <f t="shared" si="67"/>
        <v/>
      </c>
      <c r="H1439" s="54" t="str">
        <f t="shared" si="68"/>
        <v/>
      </c>
    </row>
    <row r="1440" spans="5:8" x14ac:dyDescent="0.25">
      <c r="E1440" s="54" t="str">
        <f>IF(A1440="","",SUMIF('Daftar Transaksi'!D:D,A1440,'Daftar Transaksi'!F:F))</f>
        <v/>
      </c>
      <c r="F1440" s="54" t="str">
        <f t="shared" si="66"/>
        <v/>
      </c>
      <c r="G1440" s="54" t="str">
        <f t="shared" si="67"/>
        <v/>
      </c>
      <c r="H1440" s="54" t="str">
        <f t="shared" si="68"/>
        <v/>
      </c>
    </row>
    <row r="1441" spans="5:8" x14ac:dyDescent="0.25">
      <c r="E1441" s="54" t="str">
        <f>IF(A1441="","",SUMIF('Daftar Transaksi'!D:D,A1441,'Daftar Transaksi'!F:F))</f>
        <v/>
      </c>
      <c r="F1441" s="54" t="str">
        <f t="shared" si="66"/>
        <v/>
      </c>
      <c r="G1441" s="54" t="str">
        <f t="shared" si="67"/>
        <v/>
      </c>
      <c r="H1441" s="54" t="str">
        <f t="shared" si="68"/>
        <v/>
      </c>
    </row>
    <row r="1442" spans="5:8" x14ac:dyDescent="0.25">
      <c r="E1442" s="54" t="str">
        <f>IF(A1442="","",SUMIF('Daftar Transaksi'!D:D,A1442,'Daftar Transaksi'!F:F))</f>
        <v/>
      </c>
      <c r="F1442" s="54" t="str">
        <f t="shared" si="66"/>
        <v/>
      </c>
      <c r="G1442" s="54" t="str">
        <f t="shared" si="67"/>
        <v/>
      </c>
      <c r="H1442" s="54" t="str">
        <f t="shared" si="68"/>
        <v/>
      </c>
    </row>
    <row r="1443" spans="5:8" x14ac:dyDescent="0.25">
      <c r="E1443" s="54" t="str">
        <f>IF(A1443="","",SUMIF('Daftar Transaksi'!D:D,A1443,'Daftar Transaksi'!F:F))</f>
        <v/>
      </c>
      <c r="F1443" s="54" t="str">
        <f t="shared" si="66"/>
        <v/>
      </c>
      <c r="G1443" s="54" t="str">
        <f t="shared" si="67"/>
        <v/>
      </c>
      <c r="H1443" s="54" t="str">
        <f t="shared" si="68"/>
        <v/>
      </c>
    </row>
    <row r="1444" spans="5:8" x14ac:dyDescent="0.25">
      <c r="E1444" s="54" t="str">
        <f>IF(A1444="","",SUMIF('Daftar Transaksi'!D:D,A1444,'Daftar Transaksi'!F:F))</f>
        <v/>
      </c>
      <c r="F1444" s="54" t="str">
        <f t="shared" si="66"/>
        <v/>
      </c>
      <c r="G1444" s="54" t="str">
        <f t="shared" si="67"/>
        <v/>
      </c>
      <c r="H1444" s="54" t="str">
        <f t="shared" si="68"/>
        <v/>
      </c>
    </row>
    <row r="1445" spans="5:8" x14ac:dyDescent="0.25">
      <c r="E1445" s="54" t="str">
        <f>IF(A1445="","",SUMIF('Daftar Transaksi'!D:D,A1445,'Daftar Transaksi'!F:F))</f>
        <v/>
      </c>
      <c r="F1445" s="54" t="str">
        <f t="shared" si="66"/>
        <v/>
      </c>
      <c r="G1445" s="54" t="str">
        <f t="shared" si="67"/>
        <v/>
      </c>
      <c r="H1445" s="54" t="str">
        <f t="shared" si="68"/>
        <v/>
      </c>
    </row>
    <row r="1446" spans="5:8" x14ac:dyDescent="0.25">
      <c r="E1446" s="54" t="str">
        <f>IF(A1446="","",SUMIF('Daftar Transaksi'!D:D,A1446,'Daftar Transaksi'!F:F))</f>
        <v/>
      </c>
      <c r="F1446" s="54" t="str">
        <f t="shared" si="66"/>
        <v/>
      </c>
      <c r="G1446" s="54" t="str">
        <f t="shared" si="67"/>
        <v/>
      </c>
      <c r="H1446" s="54" t="str">
        <f t="shared" si="68"/>
        <v/>
      </c>
    </row>
    <row r="1447" spans="5:8" x14ac:dyDescent="0.25">
      <c r="E1447" s="54" t="str">
        <f>IF(A1447="","",SUMIF('Daftar Transaksi'!D:D,A1447,'Daftar Transaksi'!F:F))</f>
        <v/>
      </c>
      <c r="F1447" s="54" t="str">
        <f t="shared" si="66"/>
        <v/>
      </c>
      <c r="G1447" s="54" t="str">
        <f t="shared" si="67"/>
        <v/>
      </c>
      <c r="H1447" s="54" t="str">
        <f t="shared" si="68"/>
        <v/>
      </c>
    </row>
    <row r="1448" spans="5:8" x14ac:dyDescent="0.25">
      <c r="E1448" s="54" t="str">
        <f>IF(A1448="","",SUMIF('Daftar Transaksi'!D:D,A1448,'Daftar Transaksi'!F:F))</f>
        <v/>
      </c>
      <c r="F1448" s="54" t="str">
        <f t="shared" si="66"/>
        <v/>
      </c>
      <c r="G1448" s="54" t="str">
        <f t="shared" si="67"/>
        <v/>
      </c>
      <c r="H1448" s="54" t="str">
        <f t="shared" si="68"/>
        <v/>
      </c>
    </row>
    <row r="1449" spans="5:8" x14ac:dyDescent="0.25">
      <c r="E1449" s="54" t="str">
        <f>IF(A1449="","",SUMIF('Daftar Transaksi'!D:D,A1449,'Daftar Transaksi'!F:F))</f>
        <v/>
      </c>
      <c r="F1449" s="54" t="str">
        <f t="shared" si="66"/>
        <v/>
      </c>
      <c r="G1449" s="54" t="str">
        <f t="shared" si="67"/>
        <v/>
      </c>
      <c r="H1449" s="54" t="str">
        <f t="shared" si="68"/>
        <v/>
      </c>
    </row>
    <row r="1450" spans="5:8" x14ac:dyDescent="0.25">
      <c r="E1450" s="54" t="str">
        <f>IF(A1450="","",SUMIF('Daftar Transaksi'!D:D,A1450,'Daftar Transaksi'!F:F))</f>
        <v/>
      </c>
      <c r="F1450" s="54" t="str">
        <f t="shared" si="66"/>
        <v/>
      </c>
      <c r="G1450" s="54" t="str">
        <f t="shared" si="67"/>
        <v/>
      </c>
      <c r="H1450" s="54" t="str">
        <f t="shared" si="68"/>
        <v/>
      </c>
    </row>
    <row r="1451" spans="5:8" x14ac:dyDescent="0.25">
      <c r="E1451" s="54" t="str">
        <f>IF(A1451="","",SUMIF('Daftar Transaksi'!D:D,A1451,'Daftar Transaksi'!F:F))</f>
        <v/>
      </c>
      <c r="F1451" s="54" t="str">
        <f t="shared" si="66"/>
        <v/>
      </c>
      <c r="G1451" s="54" t="str">
        <f t="shared" si="67"/>
        <v/>
      </c>
      <c r="H1451" s="54" t="str">
        <f t="shared" si="68"/>
        <v/>
      </c>
    </row>
    <row r="1452" spans="5:8" x14ac:dyDescent="0.25">
      <c r="E1452" s="54" t="str">
        <f>IF(A1452="","",SUMIF('Daftar Transaksi'!D:D,A1452,'Daftar Transaksi'!F:F))</f>
        <v/>
      </c>
      <c r="F1452" s="54" t="str">
        <f t="shared" si="66"/>
        <v/>
      </c>
      <c r="G1452" s="54" t="str">
        <f t="shared" si="67"/>
        <v/>
      </c>
      <c r="H1452" s="54" t="str">
        <f t="shared" si="68"/>
        <v/>
      </c>
    </row>
    <row r="1453" spans="5:8" x14ac:dyDescent="0.25">
      <c r="E1453" s="54" t="str">
        <f>IF(A1453="","",SUMIF('Daftar Transaksi'!D:D,A1453,'Daftar Transaksi'!F:F))</f>
        <v/>
      </c>
      <c r="F1453" s="54" t="str">
        <f t="shared" si="66"/>
        <v/>
      </c>
      <c r="G1453" s="54" t="str">
        <f t="shared" si="67"/>
        <v/>
      </c>
      <c r="H1453" s="54" t="str">
        <f t="shared" si="68"/>
        <v/>
      </c>
    </row>
    <row r="1454" spans="5:8" x14ac:dyDescent="0.25">
      <c r="E1454" s="54" t="str">
        <f>IF(A1454="","",SUMIF('Daftar Transaksi'!D:D,A1454,'Daftar Transaksi'!F:F))</f>
        <v/>
      </c>
      <c r="F1454" s="54" t="str">
        <f t="shared" si="66"/>
        <v/>
      </c>
      <c r="G1454" s="54" t="str">
        <f t="shared" si="67"/>
        <v/>
      </c>
      <c r="H1454" s="54" t="str">
        <f t="shared" si="68"/>
        <v/>
      </c>
    </row>
    <row r="1455" spans="5:8" x14ac:dyDescent="0.25">
      <c r="E1455" s="54" t="str">
        <f>IF(A1455="","",SUMIF('Daftar Transaksi'!D:D,A1455,'Daftar Transaksi'!F:F))</f>
        <v/>
      </c>
      <c r="F1455" s="54" t="str">
        <f t="shared" si="66"/>
        <v/>
      </c>
      <c r="G1455" s="54" t="str">
        <f t="shared" si="67"/>
        <v/>
      </c>
      <c r="H1455" s="54" t="str">
        <f t="shared" si="68"/>
        <v/>
      </c>
    </row>
    <row r="1456" spans="5:8" x14ac:dyDescent="0.25">
      <c r="E1456" s="54" t="str">
        <f>IF(A1456="","",SUMIF('Daftar Transaksi'!D:D,A1456,'Daftar Transaksi'!F:F))</f>
        <v/>
      </c>
      <c r="F1456" s="54" t="str">
        <f t="shared" si="66"/>
        <v/>
      </c>
      <c r="G1456" s="54" t="str">
        <f t="shared" si="67"/>
        <v/>
      </c>
      <c r="H1456" s="54" t="str">
        <f t="shared" si="68"/>
        <v/>
      </c>
    </row>
    <row r="1457" spans="5:8" x14ac:dyDescent="0.25">
      <c r="E1457" s="54" t="str">
        <f>IF(A1457="","",SUMIF('Daftar Transaksi'!D:D,A1457,'Daftar Transaksi'!F:F))</f>
        <v/>
      </c>
      <c r="F1457" s="54" t="str">
        <f t="shared" si="66"/>
        <v/>
      </c>
      <c r="G1457" s="54" t="str">
        <f t="shared" si="67"/>
        <v/>
      </c>
      <c r="H1457" s="54" t="str">
        <f t="shared" si="68"/>
        <v/>
      </c>
    </row>
    <row r="1458" spans="5:8" x14ac:dyDescent="0.25">
      <c r="E1458" s="54" t="str">
        <f>IF(A1458="","",SUMIF('Daftar Transaksi'!D:D,A1458,'Daftar Transaksi'!F:F))</f>
        <v/>
      </c>
      <c r="F1458" s="54" t="str">
        <f t="shared" si="66"/>
        <v/>
      </c>
      <c r="G1458" s="54" t="str">
        <f t="shared" si="67"/>
        <v/>
      </c>
      <c r="H1458" s="54" t="str">
        <f t="shared" si="68"/>
        <v/>
      </c>
    </row>
    <row r="1459" spans="5:8" x14ac:dyDescent="0.25">
      <c r="E1459" s="54" t="str">
        <f>IF(A1459="","",SUMIF('Daftar Transaksi'!D:D,A1459,'Daftar Transaksi'!F:F))</f>
        <v/>
      </c>
      <c r="F1459" s="54" t="str">
        <f t="shared" si="66"/>
        <v/>
      </c>
      <c r="G1459" s="54" t="str">
        <f t="shared" si="67"/>
        <v/>
      </c>
      <c r="H1459" s="54" t="str">
        <f t="shared" si="68"/>
        <v/>
      </c>
    </row>
    <row r="1460" spans="5:8" x14ac:dyDescent="0.25">
      <c r="E1460" s="54" t="str">
        <f>IF(A1460="","",SUMIF('Daftar Transaksi'!D:D,A1460,'Daftar Transaksi'!F:F))</f>
        <v/>
      </c>
      <c r="F1460" s="54" t="str">
        <f t="shared" si="66"/>
        <v/>
      </c>
      <c r="G1460" s="54" t="str">
        <f t="shared" si="67"/>
        <v/>
      </c>
      <c r="H1460" s="54" t="str">
        <f t="shared" si="68"/>
        <v/>
      </c>
    </row>
    <row r="1461" spans="5:8" x14ac:dyDescent="0.25">
      <c r="E1461" s="54" t="str">
        <f>IF(A1461="","",SUMIF('Daftar Transaksi'!D:D,A1461,'Daftar Transaksi'!F:F))</f>
        <v/>
      </c>
      <c r="F1461" s="54" t="str">
        <f t="shared" si="66"/>
        <v/>
      </c>
      <c r="G1461" s="54" t="str">
        <f t="shared" si="67"/>
        <v/>
      </c>
      <c r="H1461" s="54" t="str">
        <f t="shared" si="68"/>
        <v/>
      </c>
    </row>
    <row r="1462" spans="5:8" x14ac:dyDescent="0.25">
      <c r="E1462" s="54" t="str">
        <f>IF(A1462="","",SUMIF('Daftar Transaksi'!D:D,A1462,'Daftar Transaksi'!F:F))</f>
        <v/>
      </c>
      <c r="F1462" s="54" t="str">
        <f t="shared" si="66"/>
        <v/>
      </c>
      <c r="G1462" s="54" t="str">
        <f t="shared" si="67"/>
        <v/>
      </c>
      <c r="H1462" s="54" t="str">
        <f t="shared" si="68"/>
        <v/>
      </c>
    </row>
    <row r="1463" spans="5:8" x14ac:dyDescent="0.25">
      <c r="E1463" s="54" t="str">
        <f>IF(A1463="","",SUMIF('Daftar Transaksi'!D:D,A1463,'Daftar Transaksi'!F:F))</f>
        <v/>
      </c>
      <c r="F1463" s="54" t="str">
        <f t="shared" si="66"/>
        <v/>
      </c>
      <c r="G1463" s="54" t="str">
        <f t="shared" si="67"/>
        <v/>
      </c>
      <c r="H1463" s="54" t="str">
        <f t="shared" si="68"/>
        <v/>
      </c>
    </row>
    <row r="1464" spans="5:8" x14ac:dyDescent="0.25">
      <c r="E1464" s="54" t="str">
        <f>IF(A1464="","",SUMIF('Daftar Transaksi'!D:D,A1464,'Daftar Transaksi'!F:F))</f>
        <v/>
      </c>
      <c r="F1464" s="54" t="str">
        <f t="shared" si="66"/>
        <v/>
      </c>
      <c r="G1464" s="54" t="str">
        <f t="shared" si="67"/>
        <v/>
      </c>
      <c r="H1464" s="54" t="str">
        <f t="shared" si="68"/>
        <v/>
      </c>
    </row>
    <row r="1465" spans="5:8" x14ac:dyDescent="0.25">
      <c r="E1465" s="54" t="str">
        <f>IF(A1465="","",SUMIF('Daftar Transaksi'!D:D,A1465,'Daftar Transaksi'!F:F))</f>
        <v/>
      </c>
      <c r="F1465" s="54" t="str">
        <f t="shared" si="66"/>
        <v/>
      </c>
      <c r="G1465" s="54" t="str">
        <f t="shared" si="67"/>
        <v/>
      </c>
      <c r="H1465" s="54" t="str">
        <f t="shared" si="68"/>
        <v/>
      </c>
    </row>
    <row r="1466" spans="5:8" x14ac:dyDescent="0.25">
      <c r="E1466" s="54" t="str">
        <f>IF(A1466="","",SUMIF('Daftar Transaksi'!D:D,A1466,'Daftar Transaksi'!F:F))</f>
        <v/>
      </c>
      <c r="F1466" s="54" t="str">
        <f t="shared" si="66"/>
        <v/>
      </c>
      <c r="G1466" s="54" t="str">
        <f t="shared" si="67"/>
        <v/>
      </c>
      <c r="H1466" s="54" t="str">
        <f t="shared" si="68"/>
        <v/>
      </c>
    </row>
    <row r="1467" spans="5:8" x14ac:dyDescent="0.25">
      <c r="E1467" s="54" t="str">
        <f>IF(A1467="","",SUMIF('Daftar Transaksi'!D:D,A1467,'Daftar Transaksi'!F:F))</f>
        <v/>
      </c>
      <c r="F1467" s="54" t="str">
        <f t="shared" si="66"/>
        <v/>
      </c>
      <c r="G1467" s="54" t="str">
        <f t="shared" si="67"/>
        <v/>
      </c>
      <c r="H1467" s="54" t="str">
        <f t="shared" si="68"/>
        <v/>
      </c>
    </row>
    <row r="1468" spans="5:8" x14ac:dyDescent="0.25">
      <c r="E1468" s="54" t="str">
        <f>IF(A1468="","",SUMIF('Daftar Transaksi'!D:D,A1468,'Daftar Transaksi'!F:F))</f>
        <v/>
      </c>
      <c r="F1468" s="54" t="str">
        <f t="shared" si="66"/>
        <v/>
      </c>
      <c r="G1468" s="54" t="str">
        <f t="shared" si="67"/>
        <v/>
      </c>
      <c r="H1468" s="54" t="str">
        <f t="shared" si="68"/>
        <v/>
      </c>
    </row>
    <row r="1469" spans="5:8" x14ac:dyDescent="0.25">
      <c r="E1469" s="54" t="str">
        <f>IF(A1469="","",SUMIF('Daftar Transaksi'!D:D,A1469,'Daftar Transaksi'!F:F))</f>
        <v/>
      </c>
      <c r="F1469" s="54" t="str">
        <f t="shared" si="66"/>
        <v/>
      </c>
      <c r="G1469" s="54" t="str">
        <f t="shared" si="67"/>
        <v/>
      </c>
      <c r="H1469" s="54" t="str">
        <f t="shared" si="68"/>
        <v/>
      </c>
    </row>
    <row r="1470" spans="5:8" x14ac:dyDescent="0.25">
      <c r="E1470" s="54" t="str">
        <f>IF(A1470="","",SUMIF('Daftar Transaksi'!D:D,A1470,'Daftar Transaksi'!F:F))</f>
        <v/>
      </c>
      <c r="F1470" s="54" t="str">
        <f t="shared" si="66"/>
        <v/>
      </c>
      <c r="G1470" s="54" t="str">
        <f t="shared" si="67"/>
        <v/>
      </c>
      <c r="H1470" s="54" t="str">
        <f t="shared" si="68"/>
        <v/>
      </c>
    </row>
    <row r="1471" spans="5:8" x14ac:dyDescent="0.25">
      <c r="E1471" s="54" t="str">
        <f>IF(A1471="","",SUMIF('Daftar Transaksi'!D:D,A1471,'Daftar Transaksi'!F:F))</f>
        <v/>
      </c>
      <c r="F1471" s="54" t="str">
        <f t="shared" ref="F1471:F1534" si="69">IF(A1471="","",D1471-E1471)</f>
        <v/>
      </c>
      <c r="G1471" s="54" t="str">
        <f t="shared" ref="G1471:G1534" si="70">IF(A1471="","",C1471*E1471)</f>
        <v/>
      </c>
      <c r="H1471" s="54" t="str">
        <f t="shared" ref="H1471:H1534" si="71">IF(A1471="","",G1471-(B1471*E1471))</f>
        <v/>
      </c>
    </row>
    <row r="1472" spans="5:8" x14ac:dyDescent="0.25">
      <c r="E1472" s="54" t="str">
        <f>IF(A1472="","",SUMIF('Daftar Transaksi'!D:D,A1472,'Daftar Transaksi'!F:F))</f>
        <v/>
      </c>
      <c r="F1472" s="54" t="str">
        <f t="shared" si="69"/>
        <v/>
      </c>
      <c r="G1472" s="54" t="str">
        <f t="shared" si="70"/>
        <v/>
      </c>
      <c r="H1472" s="54" t="str">
        <f t="shared" si="71"/>
        <v/>
      </c>
    </row>
    <row r="1473" spans="5:8" x14ac:dyDescent="0.25">
      <c r="E1473" s="54" t="str">
        <f>IF(A1473="","",SUMIF('Daftar Transaksi'!D:D,A1473,'Daftar Transaksi'!F:F))</f>
        <v/>
      </c>
      <c r="F1473" s="54" t="str">
        <f t="shared" si="69"/>
        <v/>
      </c>
      <c r="G1473" s="54" t="str">
        <f t="shared" si="70"/>
        <v/>
      </c>
      <c r="H1473" s="54" t="str">
        <f t="shared" si="71"/>
        <v/>
      </c>
    </row>
    <row r="1474" spans="5:8" x14ac:dyDescent="0.25">
      <c r="E1474" s="54" t="str">
        <f>IF(A1474="","",SUMIF('Daftar Transaksi'!D:D,A1474,'Daftar Transaksi'!F:F))</f>
        <v/>
      </c>
      <c r="F1474" s="54" t="str">
        <f t="shared" si="69"/>
        <v/>
      </c>
      <c r="G1474" s="54" t="str">
        <f t="shared" si="70"/>
        <v/>
      </c>
      <c r="H1474" s="54" t="str">
        <f t="shared" si="71"/>
        <v/>
      </c>
    </row>
    <row r="1475" spans="5:8" x14ac:dyDescent="0.25">
      <c r="E1475" s="54" t="str">
        <f>IF(A1475="","",SUMIF('Daftar Transaksi'!D:D,A1475,'Daftar Transaksi'!F:F))</f>
        <v/>
      </c>
      <c r="F1475" s="54" t="str">
        <f t="shared" si="69"/>
        <v/>
      </c>
      <c r="G1475" s="54" t="str">
        <f t="shared" si="70"/>
        <v/>
      </c>
      <c r="H1475" s="54" t="str">
        <f t="shared" si="71"/>
        <v/>
      </c>
    </row>
    <row r="1476" spans="5:8" x14ac:dyDescent="0.25">
      <c r="E1476" s="54" t="str">
        <f>IF(A1476="","",SUMIF('Daftar Transaksi'!D:D,A1476,'Daftar Transaksi'!F:F))</f>
        <v/>
      </c>
      <c r="F1476" s="54" t="str">
        <f t="shared" si="69"/>
        <v/>
      </c>
      <c r="G1476" s="54" t="str">
        <f t="shared" si="70"/>
        <v/>
      </c>
      <c r="H1476" s="54" t="str">
        <f t="shared" si="71"/>
        <v/>
      </c>
    </row>
    <row r="1477" spans="5:8" x14ac:dyDescent="0.25">
      <c r="E1477" s="54" t="str">
        <f>IF(A1477="","",SUMIF('Daftar Transaksi'!D:D,A1477,'Daftar Transaksi'!F:F))</f>
        <v/>
      </c>
      <c r="F1477" s="54" t="str">
        <f t="shared" si="69"/>
        <v/>
      </c>
      <c r="G1477" s="54" t="str">
        <f t="shared" si="70"/>
        <v/>
      </c>
      <c r="H1477" s="54" t="str">
        <f t="shared" si="71"/>
        <v/>
      </c>
    </row>
    <row r="1478" spans="5:8" x14ac:dyDescent="0.25">
      <c r="E1478" s="54" t="str">
        <f>IF(A1478="","",SUMIF('Daftar Transaksi'!D:D,A1478,'Daftar Transaksi'!F:F))</f>
        <v/>
      </c>
      <c r="F1478" s="54" t="str">
        <f t="shared" si="69"/>
        <v/>
      </c>
      <c r="G1478" s="54" t="str">
        <f t="shared" si="70"/>
        <v/>
      </c>
      <c r="H1478" s="54" t="str">
        <f t="shared" si="71"/>
        <v/>
      </c>
    </row>
    <row r="1479" spans="5:8" x14ac:dyDescent="0.25">
      <c r="E1479" s="54" t="str">
        <f>IF(A1479="","",SUMIF('Daftar Transaksi'!D:D,A1479,'Daftar Transaksi'!F:F))</f>
        <v/>
      </c>
      <c r="F1479" s="54" t="str">
        <f t="shared" si="69"/>
        <v/>
      </c>
      <c r="G1479" s="54" t="str">
        <f t="shared" si="70"/>
        <v/>
      </c>
      <c r="H1479" s="54" t="str">
        <f t="shared" si="71"/>
        <v/>
      </c>
    </row>
    <row r="1480" spans="5:8" x14ac:dyDescent="0.25">
      <c r="E1480" s="54" t="str">
        <f>IF(A1480="","",SUMIF('Daftar Transaksi'!D:D,A1480,'Daftar Transaksi'!F:F))</f>
        <v/>
      </c>
      <c r="F1480" s="54" t="str">
        <f t="shared" si="69"/>
        <v/>
      </c>
      <c r="G1480" s="54" t="str">
        <f t="shared" si="70"/>
        <v/>
      </c>
      <c r="H1480" s="54" t="str">
        <f t="shared" si="71"/>
        <v/>
      </c>
    </row>
    <row r="1481" spans="5:8" x14ac:dyDescent="0.25">
      <c r="E1481" s="54" t="str">
        <f>IF(A1481="","",SUMIF('Daftar Transaksi'!D:D,A1481,'Daftar Transaksi'!F:F))</f>
        <v/>
      </c>
      <c r="F1481" s="54" t="str">
        <f t="shared" si="69"/>
        <v/>
      </c>
      <c r="G1481" s="54" t="str">
        <f t="shared" si="70"/>
        <v/>
      </c>
      <c r="H1481" s="54" t="str">
        <f t="shared" si="71"/>
        <v/>
      </c>
    </row>
    <row r="1482" spans="5:8" x14ac:dyDescent="0.25">
      <c r="E1482" s="54" t="str">
        <f>IF(A1482="","",SUMIF('Daftar Transaksi'!D:D,A1482,'Daftar Transaksi'!F:F))</f>
        <v/>
      </c>
      <c r="F1482" s="54" t="str">
        <f t="shared" si="69"/>
        <v/>
      </c>
      <c r="G1482" s="54" t="str">
        <f t="shared" si="70"/>
        <v/>
      </c>
      <c r="H1482" s="54" t="str">
        <f t="shared" si="71"/>
        <v/>
      </c>
    </row>
    <row r="1483" spans="5:8" x14ac:dyDescent="0.25">
      <c r="E1483" s="54" t="str">
        <f>IF(A1483="","",SUMIF('Daftar Transaksi'!D:D,A1483,'Daftar Transaksi'!F:F))</f>
        <v/>
      </c>
      <c r="F1483" s="54" t="str">
        <f t="shared" si="69"/>
        <v/>
      </c>
      <c r="G1483" s="54" t="str">
        <f t="shared" si="70"/>
        <v/>
      </c>
      <c r="H1483" s="54" t="str">
        <f t="shared" si="71"/>
        <v/>
      </c>
    </row>
    <row r="1484" spans="5:8" x14ac:dyDescent="0.25">
      <c r="E1484" s="54" t="str">
        <f>IF(A1484="","",SUMIF('Daftar Transaksi'!D:D,A1484,'Daftar Transaksi'!F:F))</f>
        <v/>
      </c>
      <c r="F1484" s="54" t="str">
        <f t="shared" si="69"/>
        <v/>
      </c>
      <c r="G1484" s="54" t="str">
        <f t="shared" si="70"/>
        <v/>
      </c>
      <c r="H1484" s="54" t="str">
        <f t="shared" si="71"/>
        <v/>
      </c>
    </row>
    <row r="1485" spans="5:8" x14ac:dyDescent="0.25">
      <c r="E1485" s="54" t="str">
        <f>IF(A1485="","",SUMIF('Daftar Transaksi'!D:D,A1485,'Daftar Transaksi'!F:F))</f>
        <v/>
      </c>
      <c r="F1485" s="54" t="str">
        <f t="shared" si="69"/>
        <v/>
      </c>
      <c r="G1485" s="54" t="str">
        <f t="shared" si="70"/>
        <v/>
      </c>
      <c r="H1485" s="54" t="str">
        <f t="shared" si="71"/>
        <v/>
      </c>
    </row>
    <row r="1486" spans="5:8" x14ac:dyDescent="0.25">
      <c r="E1486" s="54" t="str">
        <f>IF(A1486="","",SUMIF('Daftar Transaksi'!D:D,A1486,'Daftar Transaksi'!F:F))</f>
        <v/>
      </c>
      <c r="F1486" s="54" t="str">
        <f t="shared" si="69"/>
        <v/>
      </c>
      <c r="G1486" s="54" t="str">
        <f t="shared" si="70"/>
        <v/>
      </c>
      <c r="H1486" s="54" t="str">
        <f t="shared" si="71"/>
        <v/>
      </c>
    </row>
    <row r="1487" spans="5:8" x14ac:dyDescent="0.25">
      <c r="E1487" s="54" t="str">
        <f>IF(A1487="","",SUMIF('Daftar Transaksi'!D:D,A1487,'Daftar Transaksi'!F:F))</f>
        <v/>
      </c>
      <c r="F1487" s="54" t="str">
        <f t="shared" si="69"/>
        <v/>
      </c>
      <c r="G1487" s="54" t="str">
        <f t="shared" si="70"/>
        <v/>
      </c>
      <c r="H1487" s="54" t="str">
        <f t="shared" si="71"/>
        <v/>
      </c>
    </row>
    <row r="1488" spans="5:8" x14ac:dyDescent="0.25">
      <c r="E1488" s="54" t="str">
        <f>IF(A1488="","",SUMIF('Daftar Transaksi'!D:D,A1488,'Daftar Transaksi'!F:F))</f>
        <v/>
      </c>
      <c r="F1488" s="54" t="str">
        <f t="shared" si="69"/>
        <v/>
      </c>
      <c r="G1488" s="54" t="str">
        <f t="shared" si="70"/>
        <v/>
      </c>
      <c r="H1488" s="54" t="str">
        <f t="shared" si="71"/>
        <v/>
      </c>
    </row>
    <row r="1489" spans="5:8" x14ac:dyDescent="0.25">
      <c r="E1489" s="54" t="str">
        <f>IF(A1489="","",SUMIF('Daftar Transaksi'!D:D,A1489,'Daftar Transaksi'!F:F))</f>
        <v/>
      </c>
      <c r="F1489" s="54" t="str">
        <f t="shared" si="69"/>
        <v/>
      </c>
      <c r="G1489" s="54" t="str">
        <f t="shared" si="70"/>
        <v/>
      </c>
      <c r="H1489" s="54" t="str">
        <f t="shared" si="71"/>
        <v/>
      </c>
    </row>
    <row r="1490" spans="5:8" x14ac:dyDescent="0.25">
      <c r="E1490" s="54" t="str">
        <f>IF(A1490="","",SUMIF('Daftar Transaksi'!D:D,A1490,'Daftar Transaksi'!F:F))</f>
        <v/>
      </c>
      <c r="F1490" s="54" t="str">
        <f t="shared" si="69"/>
        <v/>
      </c>
      <c r="G1490" s="54" t="str">
        <f t="shared" si="70"/>
        <v/>
      </c>
      <c r="H1490" s="54" t="str">
        <f t="shared" si="71"/>
        <v/>
      </c>
    </row>
    <row r="1491" spans="5:8" x14ac:dyDescent="0.25">
      <c r="E1491" s="54" t="str">
        <f>IF(A1491="","",SUMIF('Daftar Transaksi'!D:D,A1491,'Daftar Transaksi'!F:F))</f>
        <v/>
      </c>
      <c r="F1491" s="54" t="str">
        <f t="shared" si="69"/>
        <v/>
      </c>
      <c r="G1491" s="54" t="str">
        <f t="shared" si="70"/>
        <v/>
      </c>
      <c r="H1491" s="54" t="str">
        <f t="shared" si="71"/>
        <v/>
      </c>
    </row>
    <row r="1492" spans="5:8" x14ac:dyDescent="0.25">
      <c r="E1492" s="54" t="str">
        <f>IF(A1492="","",SUMIF('Daftar Transaksi'!D:D,A1492,'Daftar Transaksi'!F:F))</f>
        <v/>
      </c>
      <c r="F1492" s="54" t="str">
        <f t="shared" si="69"/>
        <v/>
      </c>
      <c r="G1492" s="54" t="str">
        <f t="shared" si="70"/>
        <v/>
      </c>
      <c r="H1492" s="54" t="str">
        <f t="shared" si="71"/>
        <v/>
      </c>
    </row>
    <row r="1493" spans="5:8" x14ac:dyDescent="0.25">
      <c r="E1493" s="54" t="str">
        <f>IF(A1493="","",SUMIF('Daftar Transaksi'!D:D,A1493,'Daftar Transaksi'!F:F))</f>
        <v/>
      </c>
      <c r="F1493" s="54" t="str">
        <f t="shared" si="69"/>
        <v/>
      </c>
      <c r="G1493" s="54" t="str">
        <f t="shared" si="70"/>
        <v/>
      </c>
      <c r="H1493" s="54" t="str">
        <f t="shared" si="71"/>
        <v/>
      </c>
    </row>
    <row r="1494" spans="5:8" x14ac:dyDescent="0.25">
      <c r="E1494" s="54" t="str">
        <f>IF(A1494="","",SUMIF('Daftar Transaksi'!D:D,A1494,'Daftar Transaksi'!F:F))</f>
        <v/>
      </c>
      <c r="F1494" s="54" t="str">
        <f t="shared" si="69"/>
        <v/>
      </c>
      <c r="G1494" s="54" t="str">
        <f t="shared" si="70"/>
        <v/>
      </c>
      <c r="H1494" s="54" t="str">
        <f t="shared" si="71"/>
        <v/>
      </c>
    </row>
    <row r="1495" spans="5:8" x14ac:dyDescent="0.25">
      <c r="E1495" s="54" t="str">
        <f>IF(A1495="","",SUMIF('Daftar Transaksi'!D:D,A1495,'Daftar Transaksi'!F:F))</f>
        <v/>
      </c>
      <c r="F1495" s="54" t="str">
        <f t="shared" si="69"/>
        <v/>
      </c>
      <c r="G1495" s="54" t="str">
        <f t="shared" si="70"/>
        <v/>
      </c>
      <c r="H1495" s="54" t="str">
        <f t="shared" si="71"/>
        <v/>
      </c>
    </row>
    <row r="1496" spans="5:8" x14ac:dyDescent="0.25">
      <c r="E1496" s="54" t="str">
        <f>IF(A1496="","",SUMIF('Daftar Transaksi'!D:D,A1496,'Daftar Transaksi'!F:F))</f>
        <v/>
      </c>
      <c r="F1496" s="54" t="str">
        <f t="shared" si="69"/>
        <v/>
      </c>
      <c r="G1496" s="54" t="str">
        <f t="shared" si="70"/>
        <v/>
      </c>
      <c r="H1496" s="54" t="str">
        <f t="shared" si="71"/>
        <v/>
      </c>
    </row>
    <row r="1497" spans="5:8" x14ac:dyDescent="0.25">
      <c r="E1497" s="54" t="str">
        <f>IF(A1497="","",SUMIF('Daftar Transaksi'!D:D,A1497,'Daftar Transaksi'!F:F))</f>
        <v/>
      </c>
      <c r="F1497" s="54" t="str">
        <f t="shared" si="69"/>
        <v/>
      </c>
      <c r="G1497" s="54" t="str">
        <f t="shared" si="70"/>
        <v/>
      </c>
      <c r="H1497" s="54" t="str">
        <f t="shared" si="71"/>
        <v/>
      </c>
    </row>
    <row r="1498" spans="5:8" x14ac:dyDescent="0.25">
      <c r="E1498" s="54" t="str">
        <f>IF(A1498="","",SUMIF('Daftar Transaksi'!D:D,A1498,'Daftar Transaksi'!F:F))</f>
        <v/>
      </c>
      <c r="F1498" s="54" t="str">
        <f t="shared" si="69"/>
        <v/>
      </c>
      <c r="G1498" s="54" t="str">
        <f t="shared" si="70"/>
        <v/>
      </c>
      <c r="H1498" s="54" t="str">
        <f t="shared" si="71"/>
        <v/>
      </c>
    </row>
    <row r="1499" spans="5:8" x14ac:dyDescent="0.25">
      <c r="E1499" s="54" t="str">
        <f>IF(A1499="","",SUMIF('Daftar Transaksi'!D:D,A1499,'Daftar Transaksi'!F:F))</f>
        <v/>
      </c>
      <c r="F1499" s="54" t="str">
        <f t="shared" si="69"/>
        <v/>
      </c>
      <c r="G1499" s="54" t="str">
        <f t="shared" si="70"/>
        <v/>
      </c>
      <c r="H1499" s="54" t="str">
        <f t="shared" si="71"/>
        <v/>
      </c>
    </row>
    <row r="1500" spans="5:8" x14ac:dyDescent="0.25">
      <c r="E1500" s="54" t="str">
        <f>IF(A1500="","",SUMIF('Daftar Transaksi'!D:D,A1500,'Daftar Transaksi'!F:F))</f>
        <v/>
      </c>
      <c r="F1500" s="54" t="str">
        <f t="shared" si="69"/>
        <v/>
      </c>
      <c r="G1500" s="54" t="str">
        <f t="shared" si="70"/>
        <v/>
      </c>
      <c r="H1500" s="54" t="str">
        <f t="shared" si="71"/>
        <v/>
      </c>
    </row>
    <row r="1501" spans="5:8" x14ac:dyDescent="0.25">
      <c r="E1501" s="54" t="str">
        <f>IF(A1501="","",SUMIF('Daftar Transaksi'!D:D,A1501,'Daftar Transaksi'!F:F))</f>
        <v/>
      </c>
      <c r="F1501" s="54" t="str">
        <f t="shared" si="69"/>
        <v/>
      </c>
      <c r="G1501" s="54" t="str">
        <f t="shared" si="70"/>
        <v/>
      </c>
      <c r="H1501" s="54" t="str">
        <f t="shared" si="71"/>
        <v/>
      </c>
    </row>
    <row r="1502" spans="5:8" x14ac:dyDescent="0.25">
      <c r="E1502" s="54" t="str">
        <f>IF(A1502="","",SUMIF('Daftar Transaksi'!D:D,A1502,'Daftar Transaksi'!F:F))</f>
        <v/>
      </c>
      <c r="F1502" s="54" t="str">
        <f t="shared" si="69"/>
        <v/>
      </c>
      <c r="G1502" s="54" t="str">
        <f t="shared" si="70"/>
        <v/>
      </c>
      <c r="H1502" s="54" t="str">
        <f t="shared" si="71"/>
        <v/>
      </c>
    </row>
    <row r="1503" spans="5:8" x14ac:dyDescent="0.25">
      <c r="E1503" s="54" t="str">
        <f>IF(A1503="","",SUMIF('Daftar Transaksi'!D:D,A1503,'Daftar Transaksi'!F:F))</f>
        <v/>
      </c>
      <c r="F1503" s="54" t="str">
        <f t="shared" si="69"/>
        <v/>
      </c>
      <c r="G1503" s="54" t="str">
        <f t="shared" si="70"/>
        <v/>
      </c>
      <c r="H1503" s="54" t="str">
        <f t="shared" si="71"/>
        <v/>
      </c>
    </row>
    <row r="1504" spans="5:8" x14ac:dyDescent="0.25">
      <c r="E1504" s="54" t="str">
        <f>IF(A1504="","",SUMIF('Daftar Transaksi'!D:D,A1504,'Daftar Transaksi'!F:F))</f>
        <v/>
      </c>
      <c r="F1504" s="54" t="str">
        <f t="shared" si="69"/>
        <v/>
      </c>
      <c r="G1504" s="54" t="str">
        <f t="shared" si="70"/>
        <v/>
      </c>
      <c r="H1504" s="54" t="str">
        <f t="shared" si="71"/>
        <v/>
      </c>
    </row>
    <row r="1505" spans="5:8" x14ac:dyDescent="0.25">
      <c r="E1505" s="54" t="str">
        <f>IF(A1505="","",SUMIF('Daftar Transaksi'!D:D,A1505,'Daftar Transaksi'!F:F))</f>
        <v/>
      </c>
      <c r="F1505" s="54" t="str">
        <f t="shared" si="69"/>
        <v/>
      </c>
      <c r="G1505" s="54" t="str">
        <f t="shared" si="70"/>
        <v/>
      </c>
      <c r="H1505" s="54" t="str">
        <f t="shared" si="71"/>
        <v/>
      </c>
    </row>
    <row r="1506" spans="5:8" x14ac:dyDescent="0.25">
      <c r="E1506" s="54" t="str">
        <f>IF(A1506="","",SUMIF('Daftar Transaksi'!D:D,A1506,'Daftar Transaksi'!F:F))</f>
        <v/>
      </c>
      <c r="F1506" s="54" t="str">
        <f t="shared" si="69"/>
        <v/>
      </c>
      <c r="G1506" s="54" t="str">
        <f t="shared" si="70"/>
        <v/>
      </c>
      <c r="H1506" s="54" t="str">
        <f t="shared" si="71"/>
        <v/>
      </c>
    </row>
    <row r="1507" spans="5:8" x14ac:dyDescent="0.25">
      <c r="E1507" s="54" t="str">
        <f>IF(A1507="","",SUMIF('Daftar Transaksi'!D:D,A1507,'Daftar Transaksi'!F:F))</f>
        <v/>
      </c>
      <c r="F1507" s="54" t="str">
        <f t="shared" si="69"/>
        <v/>
      </c>
      <c r="G1507" s="54" t="str">
        <f t="shared" si="70"/>
        <v/>
      </c>
      <c r="H1507" s="54" t="str">
        <f t="shared" si="71"/>
        <v/>
      </c>
    </row>
    <row r="1508" spans="5:8" x14ac:dyDescent="0.25">
      <c r="E1508" s="54" t="str">
        <f>IF(A1508="","",SUMIF('Daftar Transaksi'!D:D,A1508,'Daftar Transaksi'!F:F))</f>
        <v/>
      </c>
      <c r="F1508" s="54" t="str">
        <f t="shared" si="69"/>
        <v/>
      </c>
      <c r="G1508" s="54" t="str">
        <f t="shared" si="70"/>
        <v/>
      </c>
      <c r="H1508" s="54" t="str">
        <f t="shared" si="71"/>
        <v/>
      </c>
    </row>
    <row r="1509" spans="5:8" x14ac:dyDescent="0.25">
      <c r="E1509" s="54" t="str">
        <f>IF(A1509="","",SUMIF('Daftar Transaksi'!D:D,A1509,'Daftar Transaksi'!F:F))</f>
        <v/>
      </c>
      <c r="F1509" s="54" t="str">
        <f t="shared" si="69"/>
        <v/>
      </c>
      <c r="G1509" s="54" t="str">
        <f t="shared" si="70"/>
        <v/>
      </c>
      <c r="H1509" s="54" t="str">
        <f t="shared" si="71"/>
        <v/>
      </c>
    </row>
    <row r="1510" spans="5:8" x14ac:dyDescent="0.25">
      <c r="E1510" s="54" t="str">
        <f>IF(A1510="","",SUMIF('Daftar Transaksi'!D:D,A1510,'Daftar Transaksi'!F:F))</f>
        <v/>
      </c>
      <c r="F1510" s="54" t="str">
        <f t="shared" si="69"/>
        <v/>
      </c>
      <c r="G1510" s="54" t="str">
        <f t="shared" si="70"/>
        <v/>
      </c>
      <c r="H1510" s="54" t="str">
        <f t="shared" si="71"/>
        <v/>
      </c>
    </row>
    <row r="1511" spans="5:8" x14ac:dyDescent="0.25">
      <c r="E1511" s="54" t="str">
        <f>IF(A1511="","",SUMIF('Daftar Transaksi'!D:D,A1511,'Daftar Transaksi'!F:F))</f>
        <v/>
      </c>
      <c r="F1511" s="54" t="str">
        <f t="shared" si="69"/>
        <v/>
      </c>
      <c r="G1511" s="54" t="str">
        <f t="shared" si="70"/>
        <v/>
      </c>
      <c r="H1511" s="54" t="str">
        <f t="shared" si="71"/>
        <v/>
      </c>
    </row>
    <row r="1512" spans="5:8" x14ac:dyDescent="0.25">
      <c r="E1512" s="54" t="str">
        <f>IF(A1512="","",SUMIF('Daftar Transaksi'!D:D,A1512,'Daftar Transaksi'!F:F))</f>
        <v/>
      </c>
      <c r="F1512" s="54" t="str">
        <f t="shared" si="69"/>
        <v/>
      </c>
      <c r="G1512" s="54" t="str">
        <f t="shared" si="70"/>
        <v/>
      </c>
      <c r="H1512" s="54" t="str">
        <f t="shared" si="71"/>
        <v/>
      </c>
    </row>
    <row r="1513" spans="5:8" x14ac:dyDescent="0.25">
      <c r="E1513" s="54" t="str">
        <f>IF(A1513="","",SUMIF('Daftar Transaksi'!D:D,A1513,'Daftar Transaksi'!F:F))</f>
        <v/>
      </c>
      <c r="F1513" s="54" t="str">
        <f t="shared" si="69"/>
        <v/>
      </c>
      <c r="G1513" s="54" t="str">
        <f t="shared" si="70"/>
        <v/>
      </c>
      <c r="H1513" s="54" t="str">
        <f t="shared" si="71"/>
        <v/>
      </c>
    </row>
    <row r="1514" spans="5:8" x14ac:dyDescent="0.25">
      <c r="E1514" s="54" t="str">
        <f>IF(A1514="","",SUMIF('Daftar Transaksi'!D:D,A1514,'Daftar Transaksi'!F:F))</f>
        <v/>
      </c>
      <c r="F1514" s="54" t="str">
        <f t="shared" si="69"/>
        <v/>
      </c>
      <c r="G1514" s="54" t="str">
        <f t="shared" si="70"/>
        <v/>
      </c>
      <c r="H1514" s="54" t="str">
        <f t="shared" si="71"/>
        <v/>
      </c>
    </row>
    <row r="1515" spans="5:8" x14ac:dyDescent="0.25">
      <c r="E1515" s="54" t="str">
        <f>IF(A1515="","",SUMIF('Daftar Transaksi'!D:D,A1515,'Daftar Transaksi'!F:F))</f>
        <v/>
      </c>
      <c r="F1515" s="54" t="str">
        <f t="shared" si="69"/>
        <v/>
      </c>
      <c r="G1515" s="54" t="str">
        <f t="shared" si="70"/>
        <v/>
      </c>
      <c r="H1515" s="54" t="str">
        <f t="shared" si="71"/>
        <v/>
      </c>
    </row>
    <row r="1516" spans="5:8" x14ac:dyDescent="0.25">
      <c r="E1516" s="54" t="str">
        <f>IF(A1516="","",SUMIF('Daftar Transaksi'!D:D,A1516,'Daftar Transaksi'!F:F))</f>
        <v/>
      </c>
      <c r="F1516" s="54" t="str">
        <f t="shared" si="69"/>
        <v/>
      </c>
      <c r="G1516" s="54" t="str">
        <f t="shared" si="70"/>
        <v/>
      </c>
      <c r="H1516" s="54" t="str">
        <f t="shared" si="71"/>
        <v/>
      </c>
    </row>
    <row r="1517" spans="5:8" x14ac:dyDescent="0.25">
      <c r="E1517" s="54" t="str">
        <f>IF(A1517="","",SUMIF('Daftar Transaksi'!D:D,A1517,'Daftar Transaksi'!F:F))</f>
        <v/>
      </c>
      <c r="F1517" s="54" t="str">
        <f t="shared" si="69"/>
        <v/>
      </c>
      <c r="G1517" s="54" t="str">
        <f t="shared" si="70"/>
        <v/>
      </c>
      <c r="H1517" s="54" t="str">
        <f t="shared" si="71"/>
        <v/>
      </c>
    </row>
    <row r="1518" spans="5:8" x14ac:dyDescent="0.25">
      <c r="E1518" s="54" t="str">
        <f>IF(A1518="","",SUMIF('Daftar Transaksi'!D:D,A1518,'Daftar Transaksi'!F:F))</f>
        <v/>
      </c>
      <c r="F1518" s="54" t="str">
        <f t="shared" si="69"/>
        <v/>
      </c>
      <c r="G1518" s="54" t="str">
        <f t="shared" si="70"/>
        <v/>
      </c>
      <c r="H1518" s="54" t="str">
        <f t="shared" si="71"/>
        <v/>
      </c>
    </row>
    <row r="1519" spans="5:8" x14ac:dyDescent="0.25">
      <c r="E1519" s="54" t="str">
        <f>IF(A1519="","",SUMIF('Daftar Transaksi'!D:D,A1519,'Daftar Transaksi'!F:F))</f>
        <v/>
      </c>
      <c r="F1519" s="54" t="str">
        <f t="shared" si="69"/>
        <v/>
      </c>
      <c r="G1519" s="54" t="str">
        <f t="shared" si="70"/>
        <v/>
      </c>
      <c r="H1519" s="54" t="str">
        <f t="shared" si="71"/>
        <v/>
      </c>
    </row>
    <row r="1520" spans="5:8" x14ac:dyDescent="0.25">
      <c r="E1520" s="54" t="str">
        <f>IF(A1520="","",SUMIF('Daftar Transaksi'!D:D,A1520,'Daftar Transaksi'!F:F))</f>
        <v/>
      </c>
      <c r="F1520" s="54" t="str">
        <f t="shared" si="69"/>
        <v/>
      </c>
      <c r="G1520" s="54" t="str">
        <f t="shared" si="70"/>
        <v/>
      </c>
      <c r="H1520" s="54" t="str">
        <f t="shared" si="71"/>
        <v/>
      </c>
    </row>
    <row r="1521" spans="5:8" x14ac:dyDescent="0.25">
      <c r="E1521" s="54" t="str">
        <f>IF(A1521="","",SUMIF('Daftar Transaksi'!D:D,A1521,'Daftar Transaksi'!F:F))</f>
        <v/>
      </c>
      <c r="F1521" s="54" t="str">
        <f t="shared" si="69"/>
        <v/>
      </c>
      <c r="G1521" s="54" t="str">
        <f t="shared" si="70"/>
        <v/>
      </c>
      <c r="H1521" s="54" t="str">
        <f t="shared" si="71"/>
        <v/>
      </c>
    </row>
    <row r="1522" spans="5:8" x14ac:dyDescent="0.25">
      <c r="E1522" s="54" t="str">
        <f>IF(A1522="","",SUMIF('Daftar Transaksi'!D:D,A1522,'Daftar Transaksi'!F:F))</f>
        <v/>
      </c>
      <c r="F1522" s="54" t="str">
        <f t="shared" si="69"/>
        <v/>
      </c>
      <c r="G1522" s="54" t="str">
        <f t="shared" si="70"/>
        <v/>
      </c>
      <c r="H1522" s="54" t="str">
        <f t="shared" si="71"/>
        <v/>
      </c>
    </row>
    <row r="1523" spans="5:8" x14ac:dyDescent="0.25">
      <c r="E1523" s="54" t="str">
        <f>IF(A1523="","",SUMIF('Daftar Transaksi'!D:D,A1523,'Daftar Transaksi'!F:F))</f>
        <v/>
      </c>
      <c r="F1523" s="54" t="str">
        <f t="shared" si="69"/>
        <v/>
      </c>
      <c r="G1523" s="54" t="str">
        <f t="shared" si="70"/>
        <v/>
      </c>
      <c r="H1523" s="54" t="str">
        <f t="shared" si="71"/>
        <v/>
      </c>
    </row>
    <row r="1524" spans="5:8" x14ac:dyDescent="0.25">
      <c r="E1524" s="54" t="str">
        <f>IF(A1524="","",SUMIF('Daftar Transaksi'!D:D,A1524,'Daftar Transaksi'!F:F))</f>
        <v/>
      </c>
      <c r="F1524" s="54" t="str">
        <f t="shared" si="69"/>
        <v/>
      </c>
      <c r="G1524" s="54" t="str">
        <f t="shared" si="70"/>
        <v/>
      </c>
      <c r="H1524" s="54" t="str">
        <f t="shared" si="71"/>
        <v/>
      </c>
    </row>
    <row r="1525" spans="5:8" x14ac:dyDescent="0.25">
      <c r="E1525" s="54" t="str">
        <f>IF(A1525="","",SUMIF('Daftar Transaksi'!D:D,A1525,'Daftar Transaksi'!F:F))</f>
        <v/>
      </c>
      <c r="F1525" s="54" t="str">
        <f t="shared" si="69"/>
        <v/>
      </c>
      <c r="G1525" s="54" t="str">
        <f t="shared" si="70"/>
        <v/>
      </c>
      <c r="H1525" s="54" t="str">
        <f t="shared" si="71"/>
        <v/>
      </c>
    </row>
    <row r="1526" spans="5:8" x14ac:dyDescent="0.25">
      <c r="E1526" s="54" t="str">
        <f>IF(A1526="","",SUMIF('Daftar Transaksi'!D:D,A1526,'Daftar Transaksi'!F:F))</f>
        <v/>
      </c>
      <c r="F1526" s="54" t="str">
        <f t="shared" si="69"/>
        <v/>
      </c>
      <c r="G1526" s="54" t="str">
        <f t="shared" si="70"/>
        <v/>
      </c>
      <c r="H1526" s="54" t="str">
        <f t="shared" si="71"/>
        <v/>
      </c>
    </row>
    <row r="1527" spans="5:8" x14ac:dyDescent="0.25">
      <c r="E1527" s="54" t="str">
        <f>IF(A1527="","",SUMIF('Daftar Transaksi'!D:D,A1527,'Daftar Transaksi'!F:F))</f>
        <v/>
      </c>
      <c r="F1527" s="54" t="str">
        <f t="shared" si="69"/>
        <v/>
      </c>
      <c r="G1527" s="54" t="str">
        <f t="shared" si="70"/>
        <v/>
      </c>
      <c r="H1527" s="54" t="str">
        <f t="shared" si="71"/>
        <v/>
      </c>
    </row>
    <row r="1528" spans="5:8" x14ac:dyDescent="0.25">
      <c r="E1528" s="54" t="str">
        <f>IF(A1528="","",SUMIF('Daftar Transaksi'!D:D,A1528,'Daftar Transaksi'!F:F))</f>
        <v/>
      </c>
      <c r="F1528" s="54" t="str">
        <f t="shared" si="69"/>
        <v/>
      </c>
      <c r="G1528" s="54" t="str">
        <f t="shared" si="70"/>
        <v/>
      </c>
      <c r="H1528" s="54" t="str">
        <f t="shared" si="71"/>
        <v/>
      </c>
    </row>
    <row r="1529" spans="5:8" x14ac:dyDescent="0.25">
      <c r="E1529" s="54" t="str">
        <f>IF(A1529="","",SUMIF('Daftar Transaksi'!D:D,A1529,'Daftar Transaksi'!F:F))</f>
        <v/>
      </c>
      <c r="F1529" s="54" t="str">
        <f t="shared" si="69"/>
        <v/>
      </c>
      <c r="G1529" s="54" t="str">
        <f t="shared" si="70"/>
        <v/>
      </c>
      <c r="H1529" s="54" t="str">
        <f t="shared" si="71"/>
        <v/>
      </c>
    </row>
    <row r="1530" spans="5:8" x14ac:dyDescent="0.25">
      <c r="E1530" s="54" t="str">
        <f>IF(A1530="","",SUMIF('Daftar Transaksi'!D:D,A1530,'Daftar Transaksi'!F:F))</f>
        <v/>
      </c>
      <c r="F1530" s="54" t="str">
        <f t="shared" si="69"/>
        <v/>
      </c>
      <c r="G1530" s="54" t="str">
        <f t="shared" si="70"/>
        <v/>
      </c>
      <c r="H1530" s="54" t="str">
        <f t="shared" si="71"/>
        <v/>
      </c>
    </row>
    <row r="1531" spans="5:8" x14ac:dyDescent="0.25">
      <c r="E1531" s="54" t="str">
        <f>IF(A1531="","",SUMIF('Daftar Transaksi'!D:D,A1531,'Daftar Transaksi'!F:F))</f>
        <v/>
      </c>
      <c r="F1531" s="54" t="str">
        <f t="shared" si="69"/>
        <v/>
      </c>
      <c r="G1531" s="54" t="str">
        <f t="shared" si="70"/>
        <v/>
      </c>
      <c r="H1531" s="54" t="str">
        <f t="shared" si="71"/>
        <v/>
      </c>
    </row>
    <row r="1532" spans="5:8" x14ac:dyDescent="0.25">
      <c r="E1532" s="54" t="str">
        <f>IF(A1532="","",SUMIF('Daftar Transaksi'!D:D,A1532,'Daftar Transaksi'!F:F))</f>
        <v/>
      </c>
      <c r="F1532" s="54" t="str">
        <f t="shared" si="69"/>
        <v/>
      </c>
      <c r="G1532" s="54" t="str">
        <f t="shared" si="70"/>
        <v/>
      </c>
      <c r="H1532" s="54" t="str">
        <f t="shared" si="71"/>
        <v/>
      </c>
    </row>
    <row r="1533" spans="5:8" x14ac:dyDescent="0.25">
      <c r="E1533" s="54" t="str">
        <f>IF(A1533="","",SUMIF('Daftar Transaksi'!D:D,A1533,'Daftar Transaksi'!F:F))</f>
        <v/>
      </c>
      <c r="F1533" s="54" t="str">
        <f t="shared" si="69"/>
        <v/>
      </c>
      <c r="G1533" s="54" t="str">
        <f t="shared" si="70"/>
        <v/>
      </c>
      <c r="H1533" s="54" t="str">
        <f t="shared" si="71"/>
        <v/>
      </c>
    </row>
    <row r="1534" spans="5:8" x14ac:dyDescent="0.25">
      <c r="E1534" s="54" t="str">
        <f>IF(A1534="","",SUMIF('Daftar Transaksi'!D:D,A1534,'Daftar Transaksi'!F:F))</f>
        <v/>
      </c>
      <c r="F1534" s="54" t="str">
        <f t="shared" si="69"/>
        <v/>
      </c>
      <c r="G1534" s="54" t="str">
        <f t="shared" si="70"/>
        <v/>
      </c>
      <c r="H1534" s="54" t="str">
        <f t="shared" si="71"/>
        <v/>
      </c>
    </row>
    <row r="1535" spans="5:8" x14ac:dyDescent="0.25">
      <c r="E1535" s="54" t="str">
        <f>IF(A1535="","",SUMIF('Daftar Transaksi'!D:D,A1535,'Daftar Transaksi'!F:F))</f>
        <v/>
      </c>
      <c r="F1535" s="54" t="str">
        <f t="shared" ref="F1535:F1598" si="72">IF(A1535="","",D1535-E1535)</f>
        <v/>
      </c>
      <c r="G1535" s="54" t="str">
        <f t="shared" ref="G1535:G1598" si="73">IF(A1535="","",C1535*E1535)</f>
        <v/>
      </c>
      <c r="H1535" s="54" t="str">
        <f t="shared" ref="H1535:H1598" si="74">IF(A1535="","",G1535-(B1535*E1535))</f>
        <v/>
      </c>
    </row>
    <row r="1536" spans="5:8" x14ac:dyDescent="0.25">
      <c r="E1536" s="54" t="str">
        <f>IF(A1536="","",SUMIF('Daftar Transaksi'!D:D,A1536,'Daftar Transaksi'!F:F))</f>
        <v/>
      </c>
      <c r="F1536" s="54" t="str">
        <f t="shared" si="72"/>
        <v/>
      </c>
      <c r="G1536" s="54" t="str">
        <f t="shared" si="73"/>
        <v/>
      </c>
      <c r="H1536" s="54" t="str">
        <f t="shared" si="74"/>
        <v/>
      </c>
    </row>
    <row r="1537" spans="5:8" x14ac:dyDescent="0.25">
      <c r="E1537" s="54" t="str">
        <f>IF(A1537="","",SUMIF('Daftar Transaksi'!D:D,A1537,'Daftar Transaksi'!F:F))</f>
        <v/>
      </c>
      <c r="F1537" s="54" t="str">
        <f t="shared" si="72"/>
        <v/>
      </c>
      <c r="G1537" s="54" t="str">
        <f t="shared" si="73"/>
        <v/>
      </c>
      <c r="H1537" s="54" t="str">
        <f t="shared" si="74"/>
        <v/>
      </c>
    </row>
    <row r="1538" spans="5:8" x14ac:dyDescent="0.25">
      <c r="E1538" s="54" t="str">
        <f>IF(A1538="","",SUMIF('Daftar Transaksi'!D:D,A1538,'Daftar Transaksi'!F:F))</f>
        <v/>
      </c>
      <c r="F1538" s="54" t="str">
        <f t="shared" si="72"/>
        <v/>
      </c>
      <c r="G1538" s="54" t="str">
        <f t="shared" si="73"/>
        <v/>
      </c>
      <c r="H1538" s="54" t="str">
        <f t="shared" si="74"/>
        <v/>
      </c>
    </row>
    <row r="1539" spans="5:8" x14ac:dyDescent="0.25">
      <c r="E1539" s="54" t="str">
        <f>IF(A1539="","",SUMIF('Daftar Transaksi'!D:D,A1539,'Daftar Transaksi'!F:F))</f>
        <v/>
      </c>
      <c r="F1539" s="54" t="str">
        <f t="shared" si="72"/>
        <v/>
      </c>
      <c r="G1539" s="54" t="str">
        <f t="shared" si="73"/>
        <v/>
      </c>
      <c r="H1539" s="54" t="str">
        <f t="shared" si="74"/>
        <v/>
      </c>
    </row>
    <row r="1540" spans="5:8" x14ac:dyDescent="0.25">
      <c r="E1540" s="54" t="str">
        <f>IF(A1540="","",SUMIF('Daftar Transaksi'!D:D,A1540,'Daftar Transaksi'!F:F))</f>
        <v/>
      </c>
      <c r="F1540" s="54" t="str">
        <f t="shared" si="72"/>
        <v/>
      </c>
      <c r="G1540" s="54" t="str">
        <f t="shared" si="73"/>
        <v/>
      </c>
      <c r="H1540" s="54" t="str">
        <f t="shared" si="74"/>
        <v/>
      </c>
    </row>
    <row r="1541" spans="5:8" x14ac:dyDescent="0.25">
      <c r="E1541" s="54" t="str">
        <f>IF(A1541="","",SUMIF('Daftar Transaksi'!D:D,A1541,'Daftar Transaksi'!F:F))</f>
        <v/>
      </c>
      <c r="F1541" s="54" t="str">
        <f t="shared" si="72"/>
        <v/>
      </c>
      <c r="G1541" s="54" t="str">
        <f t="shared" si="73"/>
        <v/>
      </c>
      <c r="H1541" s="54" t="str">
        <f t="shared" si="74"/>
        <v/>
      </c>
    </row>
    <row r="1542" spans="5:8" x14ac:dyDescent="0.25">
      <c r="E1542" s="54" t="str">
        <f>IF(A1542="","",SUMIF('Daftar Transaksi'!D:D,A1542,'Daftar Transaksi'!F:F))</f>
        <v/>
      </c>
      <c r="F1542" s="54" t="str">
        <f t="shared" si="72"/>
        <v/>
      </c>
      <c r="G1542" s="54" t="str">
        <f t="shared" si="73"/>
        <v/>
      </c>
      <c r="H1542" s="54" t="str">
        <f t="shared" si="74"/>
        <v/>
      </c>
    </row>
    <row r="1543" spans="5:8" x14ac:dyDescent="0.25">
      <c r="E1543" s="54" t="str">
        <f>IF(A1543="","",SUMIF('Daftar Transaksi'!D:D,A1543,'Daftar Transaksi'!F:F))</f>
        <v/>
      </c>
      <c r="F1543" s="54" t="str">
        <f t="shared" si="72"/>
        <v/>
      </c>
      <c r="G1543" s="54" t="str">
        <f t="shared" si="73"/>
        <v/>
      </c>
      <c r="H1543" s="54" t="str">
        <f t="shared" si="74"/>
        <v/>
      </c>
    </row>
    <row r="1544" spans="5:8" x14ac:dyDescent="0.25">
      <c r="E1544" s="54" t="str">
        <f>IF(A1544="","",SUMIF('Daftar Transaksi'!D:D,A1544,'Daftar Transaksi'!F:F))</f>
        <v/>
      </c>
      <c r="F1544" s="54" t="str">
        <f t="shared" si="72"/>
        <v/>
      </c>
      <c r="G1544" s="54" t="str">
        <f t="shared" si="73"/>
        <v/>
      </c>
      <c r="H1544" s="54" t="str">
        <f t="shared" si="74"/>
        <v/>
      </c>
    </row>
    <row r="1545" spans="5:8" x14ac:dyDescent="0.25">
      <c r="E1545" s="54" t="str">
        <f>IF(A1545="","",SUMIF('Daftar Transaksi'!D:D,A1545,'Daftar Transaksi'!F:F))</f>
        <v/>
      </c>
      <c r="F1545" s="54" t="str">
        <f t="shared" si="72"/>
        <v/>
      </c>
      <c r="G1545" s="54" t="str">
        <f t="shared" si="73"/>
        <v/>
      </c>
      <c r="H1545" s="54" t="str">
        <f t="shared" si="74"/>
        <v/>
      </c>
    </row>
    <row r="1546" spans="5:8" x14ac:dyDescent="0.25">
      <c r="E1546" s="54" t="str">
        <f>IF(A1546="","",SUMIF('Daftar Transaksi'!D:D,A1546,'Daftar Transaksi'!F:F))</f>
        <v/>
      </c>
      <c r="F1546" s="54" t="str">
        <f t="shared" si="72"/>
        <v/>
      </c>
      <c r="G1546" s="54" t="str">
        <f t="shared" si="73"/>
        <v/>
      </c>
      <c r="H1546" s="54" t="str">
        <f t="shared" si="74"/>
        <v/>
      </c>
    </row>
    <row r="1547" spans="5:8" x14ac:dyDescent="0.25">
      <c r="E1547" s="54" t="str">
        <f>IF(A1547="","",SUMIF('Daftar Transaksi'!D:D,A1547,'Daftar Transaksi'!F:F))</f>
        <v/>
      </c>
      <c r="F1547" s="54" t="str">
        <f t="shared" si="72"/>
        <v/>
      </c>
      <c r="G1547" s="54" t="str">
        <f t="shared" si="73"/>
        <v/>
      </c>
      <c r="H1547" s="54" t="str">
        <f t="shared" si="74"/>
        <v/>
      </c>
    </row>
    <row r="1548" spans="5:8" x14ac:dyDescent="0.25">
      <c r="E1548" s="54" t="str">
        <f>IF(A1548="","",SUMIF('Daftar Transaksi'!D:D,A1548,'Daftar Transaksi'!F:F))</f>
        <v/>
      </c>
      <c r="F1548" s="54" t="str">
        <f t="shared" si="72"/>
        <v/>
      </c>
      <c r="G1548" s="54" t="str">
        <f t="shared" si="73"/>
        <v/>
      </c>
      <c r="H1548" s="54" t="str">
        <f t="shared" si="74"/>
        <v/>
      </c>
    </row>
    <row r="1549" spans="5:8" x14ac:dyDescent="0.25">
      <c r="E1549" s="54" t="str">
        <f>IF(A1549="","",SUMIF('Daftar Transaksi'!D:D,A1549,'Daftar Transaksi'!F:F))</f>
        <v/>
      </c>
      <c r="F1549" s="54" t="str">
        <f t="shared" si="72"/>
        <v/>
      </c>
      <c r="G1549" s="54" t="str">
        <f t="shared" si="73"/>
        <v/>
      </c>
      <c r="H1549" s="54" t="str">
        <f t="shared" si="74"/>
        <v/>
      </c>
    </row>
    <row r="1550" spans="5:8" x14ac:dyDescent="0.25">
      <c r="E1550" s="54" t="str">
        <f>IF(A1550="","",SUMIF('Daftar Transaksi'!D:D,A1550,'Daftar Transaksi'!F:F))</f>
        <v/>
      </c>
      <c r="F1550" s="54" t="str">
        <f t="shared" si="72"/>
        <v/>
      </c>
      <c r="G1550" s="54" t="str">
        <f t="shared" si="73"/>
        <v/>
      </c>
      <c r="H1550" s="54" t="str">
        <f t="shared" si="74"/>
        <v/>
      </c>
    </row>
    <row r="1551" spans="5:8" x14ac:dyDescent="0.25">
      <c r="E1551" s="54" t="str">
        <f>IF(A1551="","",SUMIF('Daftar Transaksi'!D:D,A1551,'Daftar Transaksi'!F:F))</f>
        <v/>
      </c>
      <c r="F1551" s="54" t="str">
        <f t="shared" si="72"/>
        <v/>
      </c>
      <c r="G1551" s="54" t="str">
        <f t="shared" si="73"/>
        <v/>
      </c>
      <c r="H1551" s="54" t="str">
        <f t="shared" si="74"/>
        <v/>
      </c>
    </row>
    <row r="1552" spans="5:8" x14ac:dyDescent="0.25">
      <c r="E1552" s="54" t="str">
        <f>IF(A1552="","",SUMIF('Daftar Transaksi'!D:D,A1552,'Daftar Transaksi'!F:F))</f>
        <v/>
      </c>
      <c r="F1552" s="54" t="str">
        <f t="shared" si="72"/>
        <v/>
      </c>
      <c r="G1552" s="54" t="str">
        <f t="shared" si="73"/>
        <v/>
      </c>
      <c r="H1552" s="54" t="str">
        <f t="shared" si="74"/>
        <v/>
      </c>
    </row>
    <row r="1553" spans="5:8" x14ac:dyDescent="0.25">
      <c r="E1553" s="54" t="str">
        <f>IF(A1553="","",SUMIF('Daftar Transaksi'!D:D,A1553,'Daftar Transaksi'!F:F))</f>
        <v/>
      </c>
      <c r="F1553" s="54" t="str">
        <f t="shared" si="72"/>
        <v/>
      </c>
      <c r="G1553" s="54" t="str">
        <f t="shared" si="73"/>
        <v/>
      </c>
      <c r="H1553" s="54" t="str">
        <f t="shared" si="74"/>
        <v/>
      </c>
    </row>
    <row r="1554" spans="5:8" x14ac:dyDescent="0.25">
      <c r="E1554" s="54" t="str">
        <f>IF(A1554="","",SUMIF('Daftar Transaksi'!D:D,A1554,'Daftar Transaksi'!F:F))</f>
        <v/>
      </c>
      <c r="F1554" s="54" t="str">
        <f t="shared" si="72"/>
        <v/>
      </c>
      <c r="G1554" s="54" t="str">
        <f t="shared" si="73"/>
        <v/>
      </c>
      <c r="H1554" s="54" t="str">
        <f t="shared" si="74"/>
        <v/>
      </c>
    </row>
    <row r="1555" spans="5:8" x14ac:dyDescent="0.25">
      <c r="E1555" s="54" t="str">
        <f>IF(A1555="","",SUMIF('Daftar Transaksi'!D:D,A1555,'Daftar Transaksi'!F:F))</f>
        <v/>
      </c>
      <c r="F1555" s="54" t="str">
        <f t="shared" si="72"/>
        <v/>
      </c>
      <c r="G1555" s="54" t="str">
        <f t="shared" si="73"/>
        <v/>
      </c>
      <c r="H1555" s="54" t="str">
        <f t="shared" si="74"/>
        <v/>
      </c>
    </row>
    <row r="1556" spans="5:8" x14ac:dyDescent="0.25">
      <c r="E1556" s="54" t="str">
        <f>IF(A1556="","",SUMIF('Daftar Transaksi'!D:D,A1556,'Daftar Transaksi'!F:F))</f>
        <v/>
      </c>
      <c r="F1556" s="54" t="str">
        <f t="shared" si="72"/>
        <v/>
      </c>
      <c r="G1556" s="54" t="str">
        <f t="shared" si="73"/>
        <v/>
      </c>
      <c r="H1556" s="54" t="str">
        <f t="shared" si="74"/>
        <v/>
      </c>
    </row>
    <row r="1557" spans="5:8" x14ac:dyDescent="0.25">
      <c r="E1557" s="54" t="str">
        <f>IF(A1557="","",SUMIF('Daftar Transaksi'!D:D,A1557,'Daftar Transaksi'!F:F))</f>
        <v/>
      </c>
      <c r="F1557" s="54" t="str">
        <f t="shared" si="72"/>
        <v/>
      </c>
      <c r="G1557" s="54" t="str">
        <f t="shared" si="73"/>
        <v/>
      </c>
      <c r="H1557" s="54" t="str">
        <f t="shared" si="74"/>
        <v/>
      </c>
    </row>
    <row r="1558" spans="5:8" x14ac:dyDescent="0.25">
      <c r="E1558" s="54" t="str">
        <f>IF(A1558="","",SUMIF('Daftar Transaksi'!D:D,A1558,'Daftar Transaksi'!F:F))</f>
        <v/>
      </c>
      <c r="F1558" s="54" t="str">
        <f t="shared" si="72"/>
        <v/>
      </c>
      <c r="G1558" s="54" t="str">
        <f t="shared" si="73"/>
        <v/>
      </c>
      <c r="H1558" s="54" t="str">
        <f t="shared" si="74"/>
        <v/>
      </c>
    </row>
    <row r="1559" spans="5:8" x14ac:dyDescent="0.25">
      <c r="E1559" s="54" t="str">
        <f>IF(A1559="","",SUMIF('Daftar Transaksi'!D:D,A1559,'Daftar Transaksi'!F:F))</f>
        <v/>
      </c>
      <c r="F1559" s="54" t="str">
        <f t="shared" si="72"/>
        <v/>
      </c>
      <c r="G1559" s="54" t="str">
        <f t="shared" si="73"/>
        <v/>
      </c>
      <c r="H1559" s="54" t="str">
        <f t="shared" si="74"/>
        <v/>
      </c>
    </row>
    <row r="1560" spans="5:8" x14ac:dyDescent="0.25">
      <c r="E1560" s="54" t="str">
        <f>IF(A1560="","",SUMIF('Daftar Transaksi'!D:D,A1560,'Daftar Transaksi'!F:F))</f>
        <v/>
      </c>
      <c r="F1560" s="54" t="str">
        <f t="shared" si="72"/>
        <v/>
      </c>
      <c r="G1560" s="54" t="str">
        <f t="shared" si="73"/>
        <v/>
      </c>
      <c r="H1560" s="54" t="str">
        <f t="shared" si="74"/>
        <v/>
      </c>
    </row>
    <row r="1561" spans="5:8" x14ac:dyDescent="0.25">
      <c r="E1561" s="54" t="str">
        <f>IF(A1561="","",SUMIF('Daftar Transaksi'!D:D,A1561,'Daftar Transaksi'!F:F))</f>
        <v/>
      </c>
      <c r="F1561" s="54" t="str">
        <f t="shared" si="72"/>
        <v/>
      </c>
      <c r="G1561" s="54" t="str">
        <f t="shared" si="73"/>
        <v/>
      </c>
      <c r="H1561" s="54" t="str">
        <f t="shared" si="74"/>
        <v/>
      </c>
    </row>
    <row r="1562" spans="5:8" x14ac:dyDescent="0.25">
      <c r="E1562" s="54" t="str">
        <f>IF(A1562="","",SUMIF('Daftar Transaksi'!D:D,A1562,'Daftar Transaksi'!F:F))</f>
        <v/>
      </c>
      <c r="F1562" s="54" t="str">
        <f t="shared" si="72"/>
        <v/>
      </c>
      <c r="G1562" s="54" t="str">
        <f t="shared" si="73"/>
        <v/>
      </c>
      <c r="H1562" s="54" t="str">
        <f t="shared" si="74"/>
        <v/>
      </c>
    </row>
    <row r="1563" spans="5:8" x14ac:dyDescent="0.25">
      <c r="E1563" s="54" t="str">
        <f>IF(A1563="","",SUMIF('Daftar Transaksi'!D:D,A1563,'Daftar Transaksi'!F:F))</f>
        <v/>
      </c>
      <c r="F1563" s="54" t="str">
        <f t="shared" si="72"/>
        <v/>
      </c>
      <c r="G1563" s="54" t="str">
        <f t="shared" si="73"/>
        <v/>
      </c>
      <c r="H1563" s="54" t="str">
        <f t="shared" si="74"/>
        <v/>
      </c>
    </row>
    <row r="1564" spans="5:8" x14ac:dyDescent="0.25">
      <c r="E1564" s="54" t="str">
        <f>IF(A1564="","",SUMIF('Daftar Transaksi'!D:D,A1564,'Daftar Transaksi'!F:F))</f>
        <v/>
      </c>
      <c r="F1564" s="54" t="str">
        <f t="shared" si="72"/>
        <v/>
      </c>
      <c r="G1564" s="54" t="str">
        <f t="shared" si="73"/>
        <v/>
      </c>
      <c r="H1564" s="54" t="str">
        <f t="shared" si="74"/>
        <v/>
      </c>
    </row>
    <row r="1565" spans="5:8" x14ac:dyDescent="0.25">
      <c r="E1565" s="54" t="str">
        <f>IF(A1565="","",SUMIF('Daftar Transaksi'!D:D,A1565,'Daftar Transaksi'!F:F))</f>
        <v/>
      </c>
      <c r="F1565" s="54" t="str">
        <f t="shared" si="72"/>
        <v/>
      </c>
      <c r="G1565" s="54" t="str">
        <f t="shared" si="73"/>
        <v/>
      </c>
      <c r="H1565" s="54" t="str">
        <f t="shared" si="74"/>
        <v/>
      </c>
    </row>
    <row r="1566" spans="5:8" x14ac:dyDescent="0.25">
      <c r="E1566" s="54" t="str">
        <f>IF(A1566="","",SUMIF('Daftar Transaksi'!D:D,A1566,'Daftar Transaksi'!F:F))</f>
        <v/>
      </c>
      <c r="F1566" s="54" t="str">
        <f t="shared" si="72"/>
        <v/>
      </c>
      <c r="G1566" s="54" t="str">
        <f t="shared" si="73"/>
        <v/>
      </c>
      <c r="H1566" s="54" t="str">
        <f t="shared" si="74"/>
        <v/>
      </c>
    </row>
    <row r="1567" spans="5:8" x14ac:dyDescent="0.25">
      <c r="E1567" s="54" t="str">
        <f>IF(A1567="","",SUMIF('Daftar Transaksi'!D:D,A1567,'Daftar Transaksi'!F:F))</f>
        <v/>
      </c>
      <c r="F1567" s="54" t="str">
        <f t="shared" si="72"/>
        <v/>
      </c>
      <c r="G1567" s="54" t="str">
        <f t="shared" si="73"/>
        <v/>
      </c>
      <c r="H1567" s="54" t="str">
        <f t="shared" si="74"/>
        <v/>
      </c>
    </row>
    <row r="1568" spans="5:8" x14ac:dyDescent="0.25">
      <c r="E1568" s="54" t="str">
        <f>IF(A1568="","",SUMIF('Daftar Transaksi'!D:D,A1568,'Daftar Transaksi'!F:F))</f>
        <v/>
      </c>
      <c r="F1568" s="54" t="str">
        <f t="shared" si="72"/>
        <v/>
      </c>
      <c r="G1568" s="54" t="str">
        <f t="shared" si="73"/>
        <v/>
      </c>
      <c r="H1568" s="54" t="str">
        <f t="shared" si="74"/>
        <v/>
      </c>
    </row>
    <row r="1569" spans="5:8" x14ac:dyDescent="0.25">
      <c r="E1569" s="54" t="str">
        <f>IF(A1569="","",SUMIF('Daftar Transaksi'!D:D,A1569,'Daftar Transaksi'!F:F))</f>
        <v/>
      </c>
      <c r="F1569" s="54" t="str">
        <f t="shared" si="72"/>
        <v/>
      </c>
      <c r="G1569" s="54" t="str">
        <f t="shared" si="73"/>
        <v/>
      </c>
      <c r="H1569" s="54" t="str">
        <f t="shared" si="74"/>
        <v/>
      </c>
    </row>
    <row r="1570" spans="5:8" x14ac:dyDescent="0.25">
      <c r="E1570" s="54" t="str">
        <f>IF(A1570="","",SUMIF('Daftar Transaksi'!D:D,A1570,'Daftar Transaksi'!F:F))</f>
        <v/>
      </c>
      <c r="F1570" s="54" t="str">
        <f t="shared" si="72"/>
        <v/>
      </c>
      <c r="G1570" s="54" t="str">
        <f t="shared" si="73"/>
        <v/>
      </c>
      <c r="H1570" s="54" t="str">
        <f t="shared" si="74"/>
        <v/>
      </c>
    </row>
    <row r="1571" spans="5:8" x14ac:dyDescent="0.25">
      <c r="E1571" s="54" t="str">
        <f>IF(A1571="","",SUMIF('Daftar Transaksi'!D:D,A1571,'Daftar Transaksi'!F:F))</f>
        <v/>
      </c>
      <c r="F1571" s="54" t="str">
        <f t="shared" si="72"/>
        <v/>
      </c>
      <c r="G1571" s="54" t="str">
        <f t="shared" si="73"/>
        <v/>
      </c>
      <c r="H1571" s="54" t="str">
        <f t="shared" si="74"/>
        <v/>
      </c>
    </row>
    <row r="1572" spans="5:8" x14ac:dyDescent="0.25">
      <c r="E1572" s="54" t="str">
        <f>IF(A1572="","",SUMIF('Daftar Transaksi'!D:D,A1572,'Daftar Transaksi'!F:F))</f>
        <v/>
      </c>
      <c r="F1572" s="54" t="str">
        <f t="shared" si="72"/>
        <v/>
      </c>
      <c r="G1572" s="54" t="str">
        <f t="shared" si="73"/>
        <v/>
      </c>
      <c r="H1572" s="54" t="str">
        <f t="shared" si="74"/>
        <v/>
      </c>
    </row>
    <row r="1573" spans="5:8" x14ac:dyDescent="0.25">
      <c r="E1573" s="54" t="str">
        <f>IF(A1573="","",SUMIF('Daftar Transaksi'!D:D,A1573,'Daftar Transaksi'!F:F))</f>
        <v/>
      </c>
      <c r="F1573" s="54" t="str">
        <f t="shared" si="72"/>
        <v/>
      </c>
      <c r="G1573" s="54" t="str">
        <f t="shared" si="73"/>
        <v/>
      </c>
      <c r="H1573" s="54" t="str">
        <f t="shared" si="74"/>
        <v/>
      </c>
    </row>
    <row r="1574" spans="5:8" x14ac:dyDescent="0.25">
      <c r="E1574" s="54" t="str">
        <f>IF(A1574="","",SUMIF('Daftar Transaksi'!D:D,A1574,'Daftar Transaksi'!F:F))</f>
        <v/>
      </c>
      <c r="F1574" s="54" t="str">
        <f t="shared" si="72"/>
        <v/>
      </c>
      <c r="G1574" s="54" t="str">
        <f t="shared" si="73"/>
        <v/>
      </c>
      <c r="H1574" s="54" t="str">
        <f t="shared" si="74"/>
        <v/>
      </c>
    </row>
    <row r="1575" spans="5:8" x14ac:dyDescent="0.25">
      <c r="E1575" s="54" t="str">
        <f>IF(A1575="","",SUMIF('Daftar Transaksi'!D:D,A1575,'Daftar Transaksi'!F:F))</f>
        <v/>
      </c>
      <c r="F1575" s="54" t="str">
        <f t="shared" si="72"/>
        <v/>
      </c>
      <c r="G1575" s="54" t="str">
        <f t="shared" si="73"/>
        <v/>
      </c>
      <c r="H1575" s="54" t="str">
        <f t="shared" si="74"/>
        <v/>
      </c>
    </row>
    <row r="1576" spans="5:8" x14ac:dyDescent="0.25">
      <c r="E1576" s="54" t="str">
        <f>IF(A1576="","",SUMIF('Daftar Transaksi'!D:D,A1576,'Daftar Transaksi'!F:F))</f>
        <v/>
      </c>
      <c r="F1576" s="54" t="str">
        <f t="shared" si="72"/>
        <v/>
      </c>
      <c r="G1576" s="54" t="str">
        <f t="shared" si="73"/>
        <v/>
      </c>
      <c r="H1576" s="54" t="str">
        <f t="shared" si="74"/>
        <v/>
      </c>
    </row>
    <row r="1577" spans="5:8" x14ac:dyDescent="0.25">
      <c r="E1577" s="54" t="str">
        <f>IF(A1577="","",SUMIF('Daftar Transaksi'!D:D,A1577,'Daftar Transaksi'!F:F))</f>
        <v/>
      </c>
      <c r="F1577" s="54" t="str">
        <f t="shared" si="72"/>
        <v/>
      </c>
      <c r="G1577" s="54" t="str">
        <f t="shared" si="73"/>
        <v/>
      </c>
      <c r="H1577" s="54" t="str">
        <f t="shared" si="74"/>
        <v/>
      </c>
    </row>
    <row r="1578" spans="5:8" x14ac:dyDescent="0.25">
      <c r="E1578" s="54" t="str">
        <f>IF(A1578="","",SUMIF('Daftar Transaksi'!D:D,A1578,'Daftar Transaksi'!F:F))</f>
        <v/>
      </c>
      <c r="F1578" s="54" t="str">
        <f t="shared" si="72"/>
        <v/>
      </c>
      <c r="G1578" s="54" t="str">
        <f t="shared" si="73"/>
        <v/>
      </c>
      <c r="H1578" s="54" t="str">
        <f t="shared" si="74"/>
        <v/>
      </c>
    </row>
    <row r="1579" spans="5:8" x14ac:dyDescent="0.25">
      <c r="E1579" s="54" t="str">
        <f>IF(A1579="","",SUMIF('Daftar Transaksi'!D:D,A1579,'Daftar Transaksi'!F:F))</f>
        <v/>
      </c>
      <c r="F1579" s="54" t="str">
        <f t="shared" si="72"/>
        <v/>
      </c>
      <c r="G1579" s="54" t="str">
        <f t="shared" si="73"/>
        <v/>
      </c>
      <c r="H1579" s="54" t="str">
        <f t="shared" si="74"/>
        <v/>
      </c>
    </row>
    <row r="1580" spans="5:8" x14ac:dyDescent="0.25">
      <c r="E1580" s="54" t="str">
        <f>IF(A1580="","",SUMIF('Daftar Transaksi'!D:D,A1580,'Daftar Transaksi'!F:F))</f>
        <v/>
      </c>
      <c r="F1580" s="54" t="str">
        <f t="shared" si="72"/>
        <v/>
      </c>
      <c r="G1580" s="54" t="str">
        <f t="shared" si="73"/>
        <v/>
      </c>
      <c r="H1580" s="54" t="str">
        <f t="shared" si="74"/>
        <v/>
      </c>
    </row>
    <row r="1581" spans="5:8" x14ac:dyDescent="0.25">
      <c r="E1581" s="54" t="str">
        <f>IF(A1581="","",SUMIF('Daftar Transaksi'!D:D,A1581,'Daftar Transaksi'!F:F))</f>
        <v/>
      </c>
      <c r="F1581" s="54" t="str">
        <f t="shared" si="72"/>
        <v/>
      </c>
      <c r="G1581" s="54" t="str">
        <f t="shared" si="73"/>
        <v/>
      </c>
      <c r="H1581" s="54" t="str">
        <f t="shared" si="74"/>
        <v/>
      </c>
    </row>
    <row r="1582" spans="5:8" x14ac:dyDescent="0.25">
      <c r="E1582" s="54" t="str">
        <f>IF(A1582="","",SUMIF('Daftar Transaksi'!D:D,A1582,'Daftar Transaksi'!F:F))</f>
        <v/>
      </c>
      <c r="F1582" s="54" t="str">
        <f t="shared" si="72"/>
        <v/>
      </c>
      <c r="G1582" s="54" t="str">
        <f t="shared" si="73"/>
        <v/>
      </c>
      <c r="H1582" s="54" t="str">
        <f t="shared" si="74"/>
        <v/>
      </c>
    </row>
    <row r="1583" spans="5:8" x14ac:dyDescent="0.25">
      <c r="E1583" s="54" t="str">
        <f>IF(A1583="","",SUMIF('Daftar Transaksi'!D:D,A1583,'Daftar Transaksi'!F:F))</f>
        <v/>
      </c>
      <c r="F1583" s="54" t="str">
        <f t="shared" si="72"/>
        <v/>
      </c>
      <c r="G1583" s="54" t="str">
        <f t="shared" si="73"/>
        <v/>
      </c>
      <c r="H1583" s="54" t="str">
        <f t="shared" si="74"/>
        <v/>
      </c>
    </row>
    <row r="1584" spans="5:8" x14ac:dyDescent="0.25">
      <c r="E1584" s="54" t="str">
        <f>IF(A1584="","",SUMIF('Daftar Transaksi'!D:D,A1584,'Daftar Transaksi'!F:F))</f>
        <v/>
      </c>
      <c r="F1584" s="54" t="str">
        <f t="shared" si="72"/>
        <v/>
      </c>
      <c r="G1584" s="54" t="str">
        <f t="shared" si="73"/>
        <v/>
      </c>
      <c r="H1584" s="54" t="str">
        <f t="shared" si="74"/>
        <v/>
      </c>
    </row>
    <row r="1585" spans="5:8" x14ac:dyDescent="0.25">
      <c r="E1585" s="54" t="str">
        <f>IF(A1585="","",SUMIF('Daftar Transaksi'!D:D,A1585,'Daftar Transaksi'!F:F))</f>
        <v/>
      </c>
      <c r="F1585" s="54" t="str">
        <f t="shared" si="72"/>
        <v/>
      </c>
      <c r="G1585" s="54" t="str">
        <f t="shared" si="73"/>
        <v/>
      </c>
      <c r="H1585" s="54" t="str">
        <f t="shared" si="74"/>
        <v/>
      </c>
    </row>
    <row r="1586" spans="5:8" x14ac:dyDescent="0.25">
      <c r="E1586" s="54" t="str">
        <f>IF(A1586="","",SUMIF('Daftar Transaksi'!D:D,A1586,'Daftar Transaksi'!F:F))</f>
        <v/>
      </c>
      <c r="F1586" s="54" t="str">
        <f t="shared" si="72"/>
        <v/>
      </c>
      <c r="G1586" s="54" t="str">
        <f t="shared" si="73"/>
        <v/>
      </c>
      <c r="H1586" s="54" t="str">
        <f t="shared" si="74"/>
        <v/>
      </c>
    </row>
    <row r="1587" spans="5:8" x14ac:dyDescent="0.25">
      <c r="E1587" s="54" t="str">
        <f>IF(A1587="","",SUMIF('Daftar Transaksi'!D:D,A1587,'Daftar Transaksi'!F:F))</f>
        <v/>
      </c>
      <c r="F1587" s="54" t="str">
        <f t="shared" si="72"/>
        <v/>
      </c>
      <c r="G1587" s="54" t="str">
        <f t="shared" si="73"/>
        <v/>
      </c>
      <c r="H1587" s="54" t="str">
        <f t="shared" si="74"/>
        <v/>
      </c>
    </row>
    <row r="1588" spans="5:8" x14ac:dyDescent="0.25">
      <c r="E1588" s="54" t="str">
        <f>IF(A1588="","",SUMIF('Daftar Transaksi'!D:D,A1588,'Daftar Transaksi'!F:F))</f>
        <v/>
      </c>
      <c r="F1588" s="54" t="str">
        <f t="shared" si="72"/>
        <v/>
      </c>
      <c r="G1588" s="54" t="str">
        <f t="shared" si="73"/>
        <v/>
      </c>
      <c r="H1588" s="54" t="str">
        <f t="shared" si="74"/>
        <v/>
      </c>
    </row>
    <row r="1589" spans="5:8" x14ac:dyDescent="0.25">
      <c r="E1589" s="54" t="str">
        <f>IF(A1589="","",SUMIF('Daftar Transaksi'!D:D,A1589,'Daftar Transaksi'!F:F))</f>
        <v/>
      </c>
      <c r="F1589" s="54" t="str">
        <f t="shared" si="72"/>
        <v/>
      </c>
      <c r="G1589" s="54" t="str">
        <f t="shared" si="73"/>
        <v/>
      </c>
      <c r="H1589" s="54" t="str">
        <f t="shared" si="74"/>
        <v/>
      </c>
    </row>
    <row r="1590" spans="5:8" x14ac:dyDescent="0.25">
      <c r="E1590" s="54" t="str">
        <f>IF(A1590="","",SUMIF('Daftar Transaksi'!D:D,A1590,'Daftar Transaksi'!F:F))</f>
        <v/>
      </c>
      <c r="F1590" s="54" t="str">
        <f t="shared" si="72"/>
        <v/>
      </c>
      <c r="G1590" s="54" t="str">
        <f t="shared" si="73"/>
        <v/>
      </c>
      <c r="H1590" s="54" t="str">
        <f t="shared" si="74"/>
        <v/>
      </c>
    </row>
    <row r="1591" spans="5:8" x14ac:dyDescent="0.25">
      <c r="E1591" s="54" t="str">
        <f>IF(A1591="","",SUMIF('Daftar Transaksi'!D:D,A1591,'Daftar Transaksi'!F:F))</f>
        <v/>
      </c>
      <c r="F1591" s="54" t="str">
        <f t="shared" si="72"/>
        <v/>
      </c>
      <c r="G1591" s="54" t="str">
        <f t="shared" si="73"/>
        <v/>
      </c>
      <c r="H1591" s="54" t="str">
        <f t="shared" si="74"/>
        <v/>
      </c>
    </row>
    <row r="1592" spans="5:8" x14ac:dyDescent="0.25">
      <c r="E1592" s="54" t="str">
        <f>IF(A1592="","",SUMIF('Daftar Transaksi'!D:D,A1592,'Daftar Transaksi'!F:F))</f>
        <v/>
      </c>
      <c r="F1592" s="54" t="str">
        <f t="shared" si="72"/>
        <v/>
      </c>
      <c r="G1592" s="54" t="str">
        <f t="shared" si="73"/>
        <v/>
      </c>
      <c r="H1592" s="54" t="str">
        <f t="shared" si="74"/>
        <v/>
      </c>
    </row>
    <row r="1593" spans="5:8" x14ac:dyDescent="0.25">
      <c r="E1593" s="54" t="str">
        <f>IF(A1593="","",SUMIF('Daftar Transaksi'!D:D,A1593,'Daftar Transaksi'!F:F))</f>
        <v/>
      </c>
      <c r="F1593" s="54" t="str">
        <f t="shared" si="72"/>
        <v/>
      </c>
      <c r="G1593" s="54" t="str">
        <f t="shared" si="73"/>
        <v/>
      </c>
      <c r="H1593" s="54" t="str">
        <f t="shared" si="74"/>
        <v/>
      </c>
    </row>
    <row r="1594" spans="5:8" x14ac:dyDescent="0.25">
      <c r="E1594" s="54" t="str">
        <f>IF(A1594="","",SUMIF('Daftar Transaksi'!D:D,A1594,'Daftar Transaksi'!F:F))</f>
        <v/>
      </c>
      <c r="F1594" s="54" t="str">
        <f t="shared" si="72"/>
        <v/>
      </c>
      <c r="G1594" s="54" t="str">
        <f t="shared" si="73"/>
        <v/>
      </c>
      <c r="H1594" s="54" t="str">
        <f t="shared" si="74"/>
        <v/>
      </c>
    </row>
    <row r="1595" spans="5:8" x14ac:dyDescent="0.25">
      <c r="E1595" s="54" t="str">
        <f>IF(A1595="","",SUMIF('Daftar Transaksi'!D:D,A1595,'Daftar Transaksi'!F:F))</f>
        <v/>
      </c>
      <c r="F1595" s="54" t="str">
        <f t="shared" si="72"/>
        <v/>
      </c>
      <c r="G1595" s="54" t="str">
        <f t="shared" si="73"/>
        <v/>
      </c>
      <c r="H1595" s="54" t="str">
        <f t="shared" si="74"/>
        <v/>
      </c>
    </row>
    <row r="1596" spans="5:8" x14ac:dyDescent="0.25">
      <c r="E1596" s="54" t="str">
        <f>IF(A1596="","",SUMIF('Daftar Transaksi'!D:D,A1596,'Daftar Transaksi'!F:F))</f>
        <v/>
      </c>
      <c r="F1596" s="54" t="str">
        <f t="shared" si="72"/>
        <v/>
      </c>
      <c r="G1596" s="54" t="str">
        <f t="shared" si="73"/>
        <v/>
      </c>
      <c r="H1596" s="54" t="str">
        <f t="shared" si="74"/>
        <v/>
      </c>
    </row>
    <row r="1597" spans="5:8" x14ac:dyDescent="0.25">
      <c r="E1597" s="54" t="str">
        <f>IF(A1597="","",SUMIF('Daftar Transaksi'!D:D,A1597,'Daftar Transaksi'!F:F))</f>
        <v/>
      </c>
      <c r="F1597" s="54" t="str">
        <f t="shared" si="72"/>
        <v/>
      </c>
      <c r="G1597" s="54" t="str">
        <f t="shared" si="73"/>
        <v/>
      </c>
      <c r="H1597" s="54" t="str">
        <f t="shared" si="74"/>
        <v/>
      </c>
    </row>
    <row r="1598" spans="5:8" x14ac:dyDescent="0.25">
      <c r="E1598" s="54" t="str">
        <f>IF(A1598="","",SUMIF('Daftar Transaksi'!D:D,A1598,'Daftar Transaksi'!F:F))</f>
        <v/>
      </c>
      <c r="F1598" s="54" t="str">
        <f t="shared" si="72"/>
        <v/>
      </c>
      <c r="G1598" s="54" t="str">
        <f t="shared" si="73"/>
        <v/>
      </c>
      <c r="H1598" s="54" t="str">
        <f t="shared" si="74"/>
        <v/>
      </c>
    </row>
    <row r="1599" spans="5:8" x14ac:dyDescent="0.25">
      <c r="E1599" s="54" t="str">
        <f>IF(A1599="","",SUMIF('Daftar Transaksi'!D:D,A1599,'Daftar Transaksi'!F:F))</f>
        <v/>
      </c>
      <c r="F1599" s="54" t="str">
        <f t="shared" ref="F1599:F1662" si="75">IF(A1599="","",D1599-E1599)</f>
        <v/>
      </c>
      <c r="G1599" s="54" t="str">
        <f t="shared" ref="G1599:G1662" si="76">IF(A1599="","",C1599*E1599)</f>
        <v/>
      </c>
      <c r="H1599" s="54" t="str">
        <f t="shared" ref="H1599:H1662" si="77">IF(A1599="","",G1599-(B1599*E1599))</f>
        <v/>
      </c>
    </row>
    <row r="1600" spans="5:8" x14ac:dyDescent="0.25">
      <c r="E1600" s="54" t="str">
        <f>IF(A1600="","",SUMIF('Daftar Transaksi'!D:D,A1600,'Daftar Transaksi'!F:F))</f>
        <v/>
      </c>
      <c r="F1600" s="54" t="str">
        <f t="shared" si="75"/>
        <v/>
      </c>
      <c r="G1600" s="54" t="str">
        <f t="shared" si="76"/>
        <v/>
      </c>
      <c r="H1600" s="54" t="str">
        <f t="shared" si="77"/>
        <v/>
      </c>
    </row>
    <row r="1601" spans="5:8" x14ac:dyDescent="0.25">
      <c r="E1601" s="54" t="str">
        <f>IF(A1601="","",SUMIF('Daftar Transaksi'!D:D,A1601,'Daftar Transaksi'!F:F))</f>
        <v/>
      </c>
      <c r="F1601" s="54" t="str">
        <f t="shared" si="75"/>
        <v/>
      </c>
      <c r="G1601" s="54" t="str">
        <f t="shared" si="76"/>
        <v/>
      </c>
      <c r="H1601" s="54" t="str">
        <f t="shared" si="77"/>
        <v/>
      </c>
    </row>
    <row r="1602" spans="5:8" x14ac:dyDescent="0.25">
      <c r="E1602" s="54" t="str">
        <f>IF(A1602="","",SUMIF('Daftar Transaksi'!D:D,A1602,'Daftar Transaksi'!F:F))</f>
        <v/>
      </c>
      <c r="F1602" s="54" t="str">
        <f t="shared" si="75"/>
        <v/>
      </c>
      <c r="G1602" s="54" t="str">
        <f t="shared" si="76"/>
        <v/>
      </c>
      <c r="H1602" s="54" t="str">
        <f t="shared" si="77"/>
        <v/>
      </c>
    </row>
    <row r="1603" spans="5:8" x14ac:dyDescent="0.25">
      <c r="E1603" s="54" t="str">
        <f>IF(A1603="","",SUMIF('Daftar Transaksi'!D:D,A1603,'Daftar Transaksi'!F:F))</f>
        <v/>
      </c>
      <c r="F1603" s="54" t="str">
        <f t="shared" si="75"/>
        <v/>
      </c>
      <c r="G1603" s="54" t="str">
        <f t="shared" si="76"/>
        <v/>
      </c>
      <c r="H1603" s="54" t="str">
        <f t="shared" si="77"/>
        <v/>
      </c>
    </row>
    <row r="1604" spans="5:8" x14ac:dyDescent="0.25">
      <c r="E1604" s="54" t="str">
        <f>IF(A1604="","",SUMIF('Daftar Transaksi'!D:D,A1604,'Daftar Transaksi'!F:F))</f>
        <v/>
      </c>
      <c r="F1604" s="54" t="str">
        <f t="shared" si="75"/>
        <v/>
      </c>
      <c r="G1604" s="54" t="str">
        <f t="shared" si="76"/>
        <v/>
      </c>
      <c r="H1604" s="54" t="str">
        <f t="shared" si="77"/>
        <v/>
      </c>
    </row>
    <row r="1605" spans="5:8" x14ac:dyDescent="0.25">
      <c r="E1605" s="54" t="str">
        <f>IF(A1605="","",SUMIF('Daftar Transaksi'!D:D,A1605,'Daftar Transaksi'!F:F))</f>
        <v/>
      </c>
      <c r="F1605" s="54" t="str">
        <f t="shared" si="75"/>
        <v/>
      </c>
      <c r="G1605" s="54" t="str">
        <f t="shared" si="76"/>
        <v/>
      </c>
      <c r="H1605" s="54" t="str">
        <f t="shared" si="77"/>
        <v/>
      </c>
    </row>
    <row r="1606" spans="5:8" x14ac:dyDescent="0.25">
      <c r="E1606" s="54" t="str">
        <f>IF(A1606="","",SUMIF('Daftar Transaksi'!D:D,A1606,'Daftar Transaksi'!F:F))</f>
        <v/>
      </c>
      <c r="F1606" s="54" t="str">
        <f t="shared" si="75"/>
        <v/>
      </c>
      <c r="G1606" s="54" t="str">
        <f t="shared" si="76"/>
        <v/>
      </c>
      <c r="H1606" s="54" t="str">
        <f t="shared" si="77"/>
        <v/>
      </c>
    </row>
    <row r="1607" spans="5:8" x14ac:dyDescent="0.25">
      <c r="E1607" s="54" t="str">
        <f>IF(A1607="","",SUMIF('Daftar Transaksi'!D:D,A1607,'Daftar Transaksi'!F:F))</f>
        <v/>
      </c>
      <c r="F1607" s="54" t="str">
        <f t="shared" si="75"/>
        <v/>
      </c>
      <c r="G1607" s="54" t="str">
        <f t="shared" si="76"/>
        <v/>
      </c>
      <c r="H1607" s="54" t="str">
        <f t="shared" si="77"/>
        <v/>
      </c>
    </row>
    <row r="1608" spans="5:8" x14ac:dyDescent="0.25">
      <c r="E1608" s="54" t="str">
        <f>IF(A1608="","",SUMIF('Daftar Transaksi'!D:D,A1608,'Daftar Transaksi'!F:F))</f>
        <v/>
      </c>
      <c r="F1608" s="54" t="str">
        <f t="shared" si="75"/>
        <v/>
      </c>
      <c r="G1608" s="54" t="str">
        <f t="shared" si="76"/>
        <v/>
      </c>
      <c r="H1608" s="54" t="str">
        <f t="shared" si="77"/>
        <v/>
      </c>
    </row>
    <row r="1609" spans="5:8" x14ac:dyDescent="0.25">
      <c r="E1609" s="54" t="str">
        <f>IF(A1609="","",SUMIF('Daftar Transaksi'!D:D,A1609,'Daftar Transaksi'!F:F))</f>
        <v/>
      </c>
      <c r="F1609" s="54" t="str">
        <f t="shared" si="75"/>
        <v/>
      </c>
      <c r="G1609" s="54" t="str">
        <f t="shared" si="76"/>
        <v/>
      </c>
      <c r="H1609" s="54" t="str">
        <f t="shared" si="77"/>
        <v/>
      </c>
    </row>
    <row r="1610" spans="5:8" x14ac:dyDescent="0.25">
      <c r="E1610" s="54" t="str">
        <f>IF(A1610="","",SUMIF('Daftar Transaksi'!D:D,A1610,'Daftar Transaksi'!F:F))</f>
        <v/>
      </c>
      <c r="F1610" s="54" t="str">
        <f t="shared" si="75"/>
        <v/>
      </c>
      <c r="G1610" s="54" t="str">
        <f t="shared" si="76"/>
        <v/>
      </c>
      <c r="H1610" s="54" t="str">
        <f t="shared" si="77"/>
        <v/>
      </c>
    </row>
    <row r="1611" spans="5:8" x14ac:dyDescent="0.25">
      <c r="E1611" s="54" t="str">
        <f>IF(A1611="","",SUMIF('Daftar Transaksi'!D:D,A1611,'Daftar Transaksi'!F:F))</f>
        <v/>
      </c>
      <c r="F1611" s="54" t="str">
        <f t="shared" si="75"/>
        <v/>
      </c>
      <c r="G1611" s="54" t="str">
        <f t="shared" si="76"/>
        <v/>
      </c>
      <c r="H1611" s="54" t="str">
        <f t="shared" si="77"/>
        <v/>
      </c>
    </row>
    <row r="1612" spans="5:8" x14ac:dyDescent="0.25">
      <c r="E1612" s="54" t="str">
        <f>IF(A1612="","",SUMIF('Daftar Transaksi'!D:D,A1612,'Daftar Transaksi'!F:F))</f>
        <v/>
      </c>
      <c r="F1612" s="54" t="str">
        <f t="shared" si="75"/>
        <v/>
      </c>
      <c r="G1612" s="54" t="str">
        <f t="shared" si="76"/>
        <v/>
      </c>
      <c r="H1612" s="54" t="str">
        <f t="shared" si="77"/>
        <v/>
      </c>
    </row>
    <row r="1613" spans="5:8" x14ac:dyDescent="0.25">
      <c r="E1613" s="54" t="str">
        <f>IF(A1613="","",SUMIF('Daftar Transaksi'!D:D,A1613,'Daftar Transaksi'!F:F))</f>
        <v/>
      </c>
      <c r="F1613" s="54" t="str">
        <f t="shared" si="75"/>
        <v/>
      </c>
      <c r="G1613" s="54" t="str">
        <f t="shared" si="76"/>
        <v/>
      </c>
      <c r="H1613" s="54" t="str">
        <f t="shared" si="77"/>
        <v/>
      </c>
    </row>
    <row r="1614" spans="5:8" x14ac:dyDescent="0.25">
      <c r="E1614" s="54" t="str">
        <f>IF(A1614="","",SUMIF('Daftar Transaksi'!D:D,A1614,'Daftar Transaksi'!F:F))</f>
        <v/>
      </c>
      <c r="F1614" s="54" t="str">
        <f t="shared" si="75"/>
        <v/>
      </c>
      <c r="G1614" s="54" t="str">
        <f t="shared" si="76"/>
        <v/>
      </c>
      <c r="H1614" s="54" t="str">
        <f t="shared" si="77"/>
        <v/>
      </c>
    </row>
    <row r="1615" spans="5:8" x14ac:dyDescent="0.25">
      <c r="E1615" s="54" t="str">
        <f>IF(A1615="","",SUMIF('Daftar Transaksi'!D:D,A1615,'Daftar Transaksi'!F:F))</f>
        <v/>
      </c>
      <c r="F1615" s="54" t="str">
        <f t="shared" si="75"/>
        <v/>
      </c>
      <c r="G1615" s="54" t="str">
        <f t="shared" si="76"/>
        <v/>
      </c>
      <c r="H1615" s="54" t="str">
        <f t="shared" si="77"/>
        <v/>
      </c>
    </row>
    <row r="1616" spans="5:8" x14ac:dyDescent="0.25">
      <c r="E1616" s="54" t="str">
        <f>IF(A1616="","",SUMIF('Daftar Transaksi'!D:D,A1616,'Daftar Transaksi'!F:F))</f>
        <v/>
      </c>
      <c r="F1616" s="54" t="str">
        <f t="shared" si="75"/>
        <v/>
      </c>
      <c r="G1616" s="54" t="str">
        <f t="shared" si="76"/>
        <v/>
      </c>
      <c r="H1616" s="54" t="str">
        <f t="shared" si="77"/>
        <v/>
      </c>
    </row>
    <row r="1617" spans="5:8" x14ac:dyDescent="0.25">
      <c r="E1617" s="54" t="str">
        <f>IF(A1617="","",SUMIF('Daftar Transaksi'!D:D,A1617,'Daftar Transaksi'!F:F))</f>
        <v/>
      </c>
      <c r="F1617" s="54" t="str">
        <f t="shared" si="75"/>
        <v/>
      </c>
      <c r="G1617" s="54" t="str">
        <f t="shared" si="76"/>
        <v/>
      </c>
      <c r="H1617" s="54" t="str">
        <f t="shared" si="77"/>
        <v/>
      </c>
    </row>
    <row r="1618" spans="5:8" x14ac:dyDescent="0.25">
      <c r="E1618" s="54" t="str">
        <f>IF(A1618="","",SUMIF('Daftar Transaksi'!D:D,A1618,'Daftar Transaksi'!F:F))</f>
        <v/>
      </c>
      <c r="F1618" s="54" t="str">
        <f t="shared" si="75"/>
        <v/>
      </c>
      <c r="G1618" s="54" t="str">
        <f t="shared" si="76"/>
        <v/>
      </c>
      <c r="H1618" s="54" t="str">
        <f t="shared" si="77"/>
        <v/>
      </c>
    </row>
    <row r="1619" spans="5:8" x14ac:dyDescent="0.25">
      <c r="E1619" s="54" t="str">
        <f>IF(A1619="","",SUMIF('Daftar Transaksi'!D:D,A1619,'Daftar Transaksi'!F:F))</f>
        <v/>
      </c>
      <c r="F1619" s="54" t="str">
        <f t="shared" si="75"/>
        <v/>
      </c>
      <c r="G1619" s="54" t="str">
        <f t="shared" si="76"/>
        <v/>
      </c>
      <c r="H1619" s="54" t="str">
        <f t="shared" si="77"/>
        <v/>
      </c>
    </row>
    <row r="1620" spans="5:8" x14ac:dyDescent="0.25">
      <c r="E1620" s="54" t="str">
        <f>IF(A1620="","",SUMIF('Daftar Transaksi'!D:D,A1620,'Daftar Transaksi'!F:F))</f>
        <v/>
      </c>
      <c r="F1620" s="54" t="str">
        <f t="shared" si="75"/>
        <v/>
      </c>
      <c r="G1620" s="54" t="str">
        <f t="shared" si="76"/>
        <v/>
      </c>
      <c r="H1620" s="54" t="str">
        <f t="shared" si="77"/>
        <v/>
      </c>
    </row>
    <row r="1621" spans="5:8" x14ac:dyDescent="0.25">
      <c r="E1621" s="54" t="str">
        <f>IF(A1621="","",SUMIF('Daftar Transaksi'!D:D,A1621,'Daftar Transaksi'!F:F))</f>
        <v/>
      </c>
      <c r="F1621" s="54" t="str">
        <f t="shared" si="75"/>
        <v/>
      </c>
      <c r="G1621" s="54" t="str">
        <f t="shared" si="76"/>
        <v/>
      </c>
      <c r="H1621" s="54" t="str">
        <f t="shared" si="77"/>
        <v/>
      </c>
    </row>
    <row r="1622" spans="5:8" x14ac:dyDescent="0.25">
      <c r="E1622" s="54" t="str">
        <f>IF(A1622="","",SUMIF('Daftar Transaksi'!D:D,A1622,'Daftar Transaksi'!F:F))</f>
        <v/>
      </c>
      <c r="F1622" s="54" t="str">
        <f t="shared" si="75"/>
        <v/>
      </c>
      <c r="G1622" s="54" t="str">
        <f t="shared" si="76"/>
        <v/>
      </c>
      <c r="H1622" s="54" t="str">
        <f t="shared" si="77"/>
        <v/>
      </c>
    </row>
    <row r="1623" spans="5:8" x14ac:dyDescent="0.25">
      <c r="E1623" s="54" t="str">
        <f>IF(A1623="","",SUMIF('Daftar Transaksi'!D:D,A1623,'Daftar Transaksi'!F:F))</f>
        <v/>
      </c>
      <c r="F1623" s="54" t="str">
        <f t="shared" si="75"/>
        <v/>
      </c>
      <c r="G1623" s="54" t="str">
        <f t="shared" si="76"/>
        <v/>
      </c>
      <c r="H1623" s="54" t="str">
        <f t="shared" si="77"/>
        <v/>
      </c>
    </row>
    <row r="1624" spans="5:8" x14ac:dyDescent="0.25">
      <c r="E1624" s="54" t="str">
        <f>IF(A1624="","",SUMIF('Daftar Transaksi'!D:D,A1624,'Daftar Transaksi'!F:F))</f>
        <v/>
      </c>
      <c r="F1624" s="54" t="str">
        <f t="shared" si="75"/>
        <v/>
      </c>
      <c r="G1624" s="54" t="str">
        <f t="shared" si="76"/>
        <v/>
      </c>
      <c r="H1624" s="54" t="str">
        <f t="shared" si="77"/>
        <v/>
      </c>
    </row>
    <row r="1625" spans="5:8" x14ac:dyDescent="0.25">
      <c r="E1625" s="54" t="str">
        <f>IF(A1625="","",SUMIF('Daftar Transaksi'!D:D,A1625,'Daftar Transaksi'!F:F))</f>
        <v/>
      </c>
      <c r="F1625" s="54" t="str">
        <f t="shared" si="75"/>
        <v/>
      </c>
      <c r="G1625" s="54" t="str">
        <f t="shared" si="76"/>
        <v/>
      </c>
      <c r="H1625" s="54" t="str">
        <f t="shared" si="77"/>
        <v/>
      </c>
    </row>
    <row r="1626" spans="5:8" x14ac:dyDescent="0.25">
      <c r="E1626" s="54" t="str">
        <f>IF(A1626="","",SUMIF('Daftar Transaksi'!D:D,A1626,'Daftar Transaksi'!F:F))</f>
        <v/>
      </c>
      <c r="F1626" s="54" t="str">
        <f t="shared" si="75"/>
        <v/>
      </c>
      <c r="G1626" s="54" t="str">
        <f t="shared" si="76"/>
        <v/>
      </c>
      <c r="H1626" s="54" t="str">
        <f t="shared" si="77"/>
        <v/>
      </c>
    </row>
    <row r="1627" spans="5:8" x14ac:dyDescent="0.25">
      <c r="E1627" s="54" t="str">
        <f>IF(A1627="","",SUMIF('Daftar Transaksi'!D:D,A1627,'Daftar Transaksi'!F:F))</f>
        <v/>
      </c>
      <c r="F1627" s="54" t="str">
        <f t="shared" si="75"/>
        <v/>
      </c>
      <c r="G1627" s="54" t="str">
        <f t="shared" si="76"/>
        <v/>
      </c>
      <c r="H1627" s="54" t="str">
        <f t="shared" si="77"/>
        <v/>
      </c>
    </row>
    <row r="1628" spans="5:8" x14ac:dyDescent="0.25">
      <c r="E1628" s="54" t="str">
        <f>IF(A1628="","",SUMIF('Daftar Transaksi'!D:D,A1628,'Daftar Transaksi'!F:F))</f>
        <v/>
      </c>
      <c r="F1628" s="54" t="str">
        <f t="shared" si="75"/>
        <v/>
      </c>
      <c r="G1628" s="54" t="str">
        <f t="shared" si="76"/>
        <v/>
      </c>
      <c r="H1628" s="54" t="str">
        <f t="shared" si="77"/>
        <v/>
      </c>
    </row>
    <row r="1629" spans="5:8" x14ac:dyDescent="0.25">
      <c r="E1629" s="54" t="str">
        <f>IF(A1629="","",SUMIF('Daftar Transaksi'!D:D,A1629,'Daftar Transaksi'!F:F))</f>
        <v/>
      </c>
      <c r="F1629" s="54" t="str">
        <f t="shared" si="75"/>
        <v/>
      </c>
      <c r="G1629" s="54" t="str">
        <f t="shared" si="76"/>
        <v/>
      </c>
      <c r="H1629" s="54" t="str">
        <f t="shared" si="77"/>
        <v/>
      </c>
    </row>
    <row r="1630" spans="5:8" x14ac:dyDescent="0.25">
      <c r="E1630" s="54" t="str">
        <f>IF(A1630="","",SUMIF('Daftar Transaksi'!D:D,A1630,'Daftar Transaksi'!F:F))</f>
        <v/>
      </c>
      <c r="F1630" s="54" t="str">
        <f t="shared" si="75"/>
        <v/>
      </c>
      <c r="G1630" s="54" t="str">
        <f t="shared" si="76"/>
        <v/>
      </c>
      <c r="H1630" s="54" t="str">
        <f t="shared" si="77"/>
        <v/>
      </c>
    </row>
    <row r="1631" spans="5:8" x14ac:dyDescent="0.25">
      <c r="E1631" s="54" t="str">
        <f>IF(A1631="","",SUMIF('Daftar Transaksi'!D:D,A1631,'Daftar Transaksi'!F:F))</f>
        <v/>
      </c>
      <c r="F1631" s="54" t="str">
        <f t="shared" si="75"/>
        <v/>
      </c>
      <c r="G1631" s="54" t="str">
        <f t="shared" si="76"/>
        <v/>
      </c>
      <c r="H1631" s="54" t="str">
        <f t="shared" si="77"/>
        <v/>
      </c>
    </row>
    <row r="1632" spans="5:8" x14ac:dyDescent="0.25">
      <c r="E1632" s="54" t="str">
        <f>IF(A1632="","",SUMIF('Daftar Transaksi'!D:D,A1632,'Daftar Transaksi'!F:F))</f>
        <v/>
      </c>
      <c r="F1632" s="54" t="str">
        <f t="shared" si="75"/>
        <v/>
      </c>
      <c r="G1632" s="54" t="str">
        <f t="shared" si="76"/>
        <v/>
      </c>
      <c r="H1632" s="54" t="str">
        <f t="shared" si="77"/>
        <v/>
      </c>
    </row>
    <row r="1633" spans="5:8" x14ac:dyDescent="0.25">
      <c r="E1633" s="54" t="str">
        <f>IF(A1633="","",SUMIF('Daftar Transaksi'!D:D,A1633,'Daftar Transaksi'!F:F))</f>
        <v/>
      </c>
      <c r="F1633" s="54" t="str">
        <f t="shared" si="75"/>
        <v/>
      </c>
      <c r="G1633" s="54" t="str">
        <f t="shared" si="76"/>
        <v/>
      </c>
      <c r="H1633" s="54" t="str">
        <f t="shared" si="77"/>
        <v/>
      </c>
    </row>
    <row r="1634" spans="5:8" x14ac:dyDescent="0.25">
      <c r="E1634" s="54" t="str">
        <f>IF(A1634="","",SUMIF('Daftar Transaksi'!D:D,A1634,'Daftar Transaksi'!F:F))</f>
        <v/>
      </c>
      <c r="F1634" s="54" t="str">
        <f t="shared" si="75"/>
        <v/>
      </c>
      <c r="G1634" s="54" t="str">
        <f t="shared" si="76"/>
        <v/>
      </c>
      <c r="H1634" s="54" t="str">
        <f t="shared" si="77"/>
        <v/>
      </c>
    </row>
    <row r="1635" spans="5:8" x14ac:dyDescent="0.25">
      <c r="E1635" s="54" t="str">
        <f>IF(A1635="","",SUMIF('Daftar Transaksi'!D:D,A1635,'Daftar Transaksi'!F:F))</f>
        <v/>
      </c>
      <c r="F1635" s="54" t="str">
        <f t="shared" si="75"/>
        <v/>
      </c>
      <c r="G1635" s="54" t="str">
        <f t="shared" si="76"/>
        <v/>
      </c>
      <c r="H1635" s="54" t="str">
        <f t="shared" si="77"/>
        <v/>
      </c>
    </row>
    <row r="1636" spans="5:8" x14ac:dyDescent="0.25">
      <c r="E1636" s="54" t="str">
        <f>IF(A1636="","",SUMIF('Daftar Transaksi'!D:D,A1636,'Daftar Transaksi'!F:F))</f>
        <v/>
      </c>
      <c r="F1636" s="54" t="str">
        <f t="shared" si="75"/>
        <v/>
      </c>
      <c r="G1636" s="54" t="str">
        <f t="shared" si="76"/>
        <v/>
      </c>
      <c r="H1636" s="54" t="str">
        <f t="shared" si="77"/>
        <v/>
      </c>
    </row>
    <row r="1637" spans="5:8" x14ac:dyDescent="0.25">
      <c r="E1637" s="54" t="str">
        <f>IF(A1637="","",SUMIF('Daftar Transaksi'!D:D,A1637,'Daftar Transaksi'!F:F))</f>
        <v/>
      </c>
      <c r="F1637" s="54" t="str">
        <f t="shared" si="75"/>
        <v/>
      </c>
      <c r="G1637" s="54" t="str">
        <f t="shared" si="76"/>
        <v/>
      </c>
      <c r="H1637" s="54" t="str">
        <f t="shared" si="77"/>
        <v/>
      </c>
    </row>
    <row r="1638" spans="5:8" x14ac:dyDescent="0.25">
      <c r="E1638" s="54" t="str">
        <f>IF(A1638="","",SUMIF('Daftar Transaksi'!D:D,A1638,'Daftar Transaksi'!F:F))</f>
        <v/>
      </c>
      <c r="F1638" s="54" t="str">
        <f t="shared" si="75"/>
        <v/>
      </c>
      <c r="G1638" s="54" t="str">
        <f t="shared" si="76"/>
        <v/>
      </c>
      <c r="H1638" s="54" t="str">
        <f t="shared" si="77"/>
        <v/>
      </c>
    </row>
    <row r="1639" spans="5:8" x14ac:dyDescent="0.25">
      <c r="E1639" s="54" t="str">
        <f>IF(A1639="","",SUMIF('Daftar Transaksi'!D:D,A1639,'Daftar Transaksi'!F:F))</f>
        <v/>
      </c>
      <c r="F1639" s="54" t="str">
        <f t="shared" si="75"/>
        <v/>
      </c>
      <c r="G1639" s="54" t="str">
        <f t="shared" si="76"/>
        <v/>
      </c>
      <c r="H1639" s="54" t="str">
        <f t="shared" si="77"/>
        <v/>
      </c>
    </row>
    <row r="1640" spans="5:8" x14ac:dyDescent="0.25">
      <c r="E1640" s="54" t="str">
        <f>IF(A1640="","",SUMIF('Daftar Transaksi'!D:D,A1640,'Daftar Transaksi'!F:F))</f>
        <v/>
      </c>
      <c r="F1640" s="54" t="str">
        <f t="shared" si="75"/>
        <v/>
      </c>
      <c r="G1640" s="54" t="str">
        <f t="shared" si="76"/>
        <v/>
      </c>
      <c r="H1640" s="54" t="str">
        <f t="shared" si="77"/>
        <v/>
      </c>
    </row>
    <row r="1641" spans="5:8" x14ac:dyDescent="0.25">
      <c r="E1641" s="54" t="str">
        <f>IF(A1641="","",SUMIF('Daftar Transaksi'!D:D,A1641,'Daftar Transaksi'!F:F))</f>
        <v/>
      </c>
      <c r="F1641" s="54" t="str">
        <f t="shared" si="75"/>
        <v/>
      </c>
      <c r="G1641" s="54" t="str">
        <f t="shared" si="76"/>
        <v/>
      </c>
      <c r="H1641" s="54" t="str">
        <f t="shared" si="77"/>
        <v/>
      </c>
    </row>
    <row r="1642" spans="5:8" x14ac:dyDescent="0.25">
      <c r="E1642" s="54" t="str">
        <f>IF(A1642="","",SUMIF('Daftar Transaksi'!D:D,A1642,'Daftar Transaksi'!F:F))</f>
        <v/>
      </c>
      <c r="F1642" s="54" t="str">
        <f t="shared" si="75"/>
        <v/>
      </c>
      <c r="G1642" s="54" t="str">
        <f t="shared" si="76"/>
        <v/>
      </c>
      <c r="H1642" s="54" t="str">
        <f t="shared" si="77"/>
        <v/>
      </c>
    </row>
    <row r="1643" spans="5:8" x14ac:dyDescent="0.25">
      <c r="E1643" s="54" t="str">
        <f>IF(A1643="","",SUMIF('Daftar Transaksi'!D:D,A1643,'Daftar Transaksi'!F:F))</f>
        <v/>
      </c>
      <c r="F1643" s="54" t="str">
        <f t="shared" si="75"/>
        <v/>
      </c>
      <c r="G1643" s="54" t="str">
        <f t="shared" si="76"/>
        <v/>
      </c>
      <c r="H1643" s="54" t="str">
        <f t="shared" si="77"/>
        <v/>
      </c>
    </row>
    <row r="1644" spans="5:8" x14ac:dyDescent="0.25">
      <c r="E1644" s="54" t="str">
        <f>IF(A1644="","",SUMIF('Daftar Transaksi'!D:D,A1644,'Daftar Transaksi'!F:F))</f>
        <v/>
      </c>
      <c r="F1644" s="54" t="str">
        <f t="shared" si="75"/>
        <v/>
      </c>
      <c r="G1644" s="54" t="str">
        <f t="shared" si="76"/>
        <v/>
      </c>
      <c r="H1644" s="54" t="str">
        <f t="shared" si="77"/>
        <v/>
      </c>
    </row>
    <row r="1645" spans="5:8" x14ac:dyDescent="0.25">
      <c r="E1645" s="54" t="str">
        <f>IF(A1645="","",SUMIF('Daftar Transaksi'!D:D,A1645,'Daftar Transaksi'!F:F))</f>
        <v/>
      </c>
      <c r="F1645" s="54" t="str">
        <f t="shared" si="75"/>
        <v/>
      </c>
      <c r="G1645" s="54" t="str">
        <f t="shared" si="76"/>
        <v/>
      </c>
      <c r="H1645" s="54" t="str">
        <f t="shared" si="77"/>
        <v/>
      </c>
    </row>
    <row r="1646" spans="5:8" x14ac:dyDescent="0.25">
      <c r="E1646" s="54" t="str">
        <f>IF(A1646="","",SUMIF('Daftar Transaksi'!D:D,A1646,'Daftar Transaksi'!F:F))</f>
        <v/>
      </c>
      <c r="F1646" s="54" t="str">
        <f t="shared" si="75"/>
        <v/>
      </c>
      <c r="G1646" s="54" t="str">
        <f t="shared" si="76"/>
        <v/>
      </c>
      <c r="H1646" s="54" t="str">
        <f t="shared" si="77"/>
        <v/>
      </c>
    </row>
    <row r="1647" spans="5:8" x14ac:dyDescent="0.25">
      <c r="E1647" s="54" t="str">
        <f>IF(A1647="","",SUMIF('Daftar Transaksi'!D:D,A1647,'Daftar Transaksi'!F:F))</f>
        <v/>
      </c>
      <c r="F1647" s="54" t="str">
        <f t="shared" si="75"/>
        <v/>
      </c>
      <c r="G1647" s="54" t="str">
        <f t="shared" si="76"/>
        <v/>
      </c>
      <c r="H1647" s="54" t="str">
        <f t="shared" si="77"/>
        <v/>
      </c>
    </row>
    <row r="1648" spans="5:8" x14ac:dyDescent="0.25">
      <c r="E1648" s="54" t="str">
        <f>IF(A1648="","",SUMIF('Daftar Transaksi'!D:D,A1648,'Daftar Transaksi'!F:F))</f>
        <v/>
      </c>
      <c r="F1648" s="54" t="str">
        <f t="shared" si="75"/>
        <v/>
      </c>
      <c r="G1648" s="54" t="str">
        <f t="shared" si="76"/>
        <v/>
      </c>
      <c r="H1648" s="54" t="str">
        <f t="shared" si="77"/>
        <v/>
      </c>
    </row>
    <row r="1649" spans="5:8" x14ac:dyDescent="0.25">
      <c r="E1649" s="54" t="str">
        <f>IF(A1649="","",SUMIF('Daftar Transaksi'!D:D,A1649,'Daftar Transaksi'!F:F))</f>
        <v/>
      </c>
      <c r="F1649" s="54" t="str">
        <f t="shared" si="75"/>
        <v/>
      </c>
      <c r="G1649" s="54" t="str">
        <f t="shared" si="76"/>
        <v/>
      </c>
      <c r="H1649" s="54" t="str">
        <f t="shared" si="77"/>
        <v/>
      </c>
    </row>
    <row r="1650" spans="5:8" x14ac:dyDescent="0.25">
      <c r="E1650" s="54" t="str">
        <f>IF(A1650="","",SUMIF('Daftar Transaksi'!D:D,A1650,'Daftar Transaksi'!F:F))</f>
        <v/>
      </c>
      <c r="F1650" s="54" t="str">
        <f t="shared" si="75"/>
        <v/>
      </c>
      <c r="G1650" s="54" t="str">
        <f t="shared" si="76"/>
        <v/>
      </c>
      <c r="H1650" s="54" t="str">
        <f t="shared" si="77"/>
        <v/>
      </c>
    </row>
    <row r="1651" spans="5:8" x14ac:dyDescent="0.25">
      <c r="E1651" s="54" t="str">
        <f>IF(A1651="","",SUMIF('Daftar Transaksi'!D:D,A1651,'Daftar Transaksi'!F:F))</f>
        <v/>
      </c>
      <c r="F1651" s="54" t="str">
        <f t="shared" si="75"/>
        <v/>
      </c>
      <c r="G1651" s="54" t="str">
        <f t="shared" si="76"/>
        <v/>
      </c>
      <c r="H1651" s="54" t="str">
        <f t="shared" si="77"/>
        <v/>
      </c>
    </row>
    <row r="1652" spans="5:8" x14ac:dyDescent="0.25">
      <c r="E1652" s="54" t="str">
        <f>IF(A1652="","",SUMIF('Daftar Transaksi'!D:D,A1652,'Daftar Transaksi'!F:F))</f>
        <v/>
      </c>
      <c r="F1652" s="54" t="str">
        <f t="shared" si="75"/>
        <v/>
      </c>
      <c r="G1652" s="54" t="str">
        <f t="shared" si="76"/>
        <v/>
      </c>
      <c r="H1652" s="54" t="str">
        <f t="shared" si="77"/>
        <v/>
      </c>
    </row>
    <row r="1653" spans="5:8" x14ac:dyDescent="0.25">
      <c r="E1653" s="54" t="str">
        <f>IF(A1653="","",SUMIF('Daftar Transaksi'!D:D,A1653,'Daftar Transaksi'!F:F))</f>
        <v/>
      </c>
      <c r="F1653" s="54" t="str">
        <f t="shared" si="75"/>
        <v/>
      </c>
      <c r="G1653" s="54" t="str">
        <f t="shared" si="76"/>
        <v/>
      </c>
      <c r="H1653" s="54" t="str">
        <f t="shared" si="77"/>
        <v/>
      </c>
    </row>
    <row r="1654" spans="5:8" x14ac:dyDescent="0.25">
      <c r="E1654" s="54" t="str">
        <f>IF(A1654="","",SUMIF('Daftar Transaksi'!D:D,A1654,'Daftar Transaksi'!F:F))</f>
        <v/>
      </c>
      <c r="F1654" s="54" t="str">
        <f t="shared" si="75"/>
        <v/>
      </c>
      <c r="G1654" s="54" t="str">
        <f t="shared" si="76"/>
        <v/>
      </c>
      <c r="H1654" s="54" t="str">
        <f t="shared" si="77"/>
        <v/>
      </c>
    </row>
    <row r="1655" spans="5:8" x14ac:dyDescent="0.25">
      <c r="E1655" s="54" t="str">
        <f>IF(A1655="","",SUMIF('Daftar Transaksi'!D:D,A1655,'Daftar Transaksi'!F:F))</f>
        <v/>
      </c>
      <c r="F1655" s="54" t="str">
        <f t="shared" si="75"/>
        <v/>
      </c>
      <c r="G1655" s="54" t="str">
        <f t="shared" si="76"/>
        <v/>
      </c>
      <c r="H1655" s="54" t="str">
        <f t="shared" si="77"/>
        <v/>
      </c>
    </row>
    <row r="1656" spans="5:8" x14ac:dyDescent="0.25">
      <c r="E1656" s="54" t="str">
        <f>IF(A1656="","",SUMIF('Daftar Transaksi'!D:D,A1656,'Daftar Transaksi'!F:F))</f>
        <v/>
      </c>
      <c r="F1656" s="54" t="str">
        <f t="shared" si="75"/>
        <v/>
      </c>
      <c r="G1656" s="54" t="str">
        <f t="shared" si="76"/>
        <v/>
      </c>
      <c r="H1656" s="54" t="str">
        <f t="shared" si="77"/>
        <v/>
      </c>
    </row>
    <row r="1657" spans="5:8" x14ac:dyDescent="0.25">
      <c r="E1657" s="54" t="str">
        <f>IF(A1657="","",SUMIF('Daftar Transaksi'!D:D,A1657,'Daftar Transaksi'!F:F))</f>
        <v/>
      </c>
      <c r="F1657" s="54" t="str">
        <f t="shared" si="75"/>
        <v/>
      </c>
      <c r="G1657" s="54" t="str">
        <f t="shared" si="76"/>
        <v/>
      </c>
      <c r="H1657" s="54" t="str">
        <f t="shared" si="77"/>
        <v/>
      </c>
    </row>
    <row r="1658" spans="5:8" x14ac:dyDescent="0.25">
      <c r="E1658" s="54" t="str">
        <f>IF(A1658="","",SUMIF('Daftar Transaksi'!D:D,A1658,'Daftar Transaksi'!F:F))</f>
        <v/>
      </c>
      <c r="F1658" s="54" t="str">
        <f t="shared" si="75"/>
        <v/>
      </c>
      <c r="G1658" s="54" t="str">
        <f t="shared" si="76"/>
        <v/>
      </c>
      <c r="H1658" s="54" t="str">
        <f t="shared" si="77"/>
        <v/>
      </c>
    </row>
    <row r="1659" spans="5:8" x14ac:dyDescent="0.25">
      <c r="E1659" s="54" t="str">
        <f>IF(A1659="","",SUMIF('Daftar Transaksi'!D:D,A1659,'Daftar Transaksi'!F:F))</f>
        <v/>
      </c>
      <c r="F1659" s="54" t="str">
        <f t="shared" si="75"/>
        <v/>
      </c>
      <c r="G1659" s="54" t="str">
        <f t="shared" si="76"/>
        <v/>
      </c>
      <c r="H1659" s="54" t="str">
        <f t="shared" si="77"/>
        <v/>
      </c>
    </row>
    <row r="1660" spans="5:8" x14ac:dyDescent="0.25">
      <c r="E1660" s="54" t="str">
        <f>IF(A1660="","",SUMIF('Daftar Transaksi'!D:D,A1660,'Daftar Transaksi'!F:F))</f>
        <v/>
      </c>
      <c r="F1660" s="54" t="str">
        <f t="shared" si="75"/>
        <v/>
      </c>
      <c r="G1660" s="54" t="str">
        <f t="shared" si="76"/>
        <v/>
      </c>
      <c r="H1660" s="54" t="str">
        <f t="shared" si="77"/>
        <v/>
      </c>
    </row>
    <row r="1661" spans="5:8" x14ac:dyDescent="0.25">
      <c r="E1661" s="54" t="str">
        <f>IF(A1661="","",SUMIF('Daftar Transaksi'!D:D,A1661,'Daftar Transaksi'!F:F))</f>
        <v/>
      </c>
      <c r="F1661" s="54" t="str">
        <f t="shared" si="75"/>
        <v/>
      </c>
      <c r="G1661" s="54" t="str">
        <f t="shared" si="76"/>
        <v/>
      </c>
      <c r="H1661" s="54" t="str">
        <f t="shared" si="77"/>
        <v/>
      </c>
    </row>
    <row r="1662" spans="5:8" x14ac:dyDescent="0.25">
      <c r="E1662" s="54" t="str">
        <f>IF(A1662="","",SUMIF('Daftar Transaksi'!D:D,A1662,'Daftar Transaksi'!F:F))</f>
        <v/>
      </c>
      <c r="F1662" s="54" t="str">
        <f t="shared" si="75"/>
        <v/>
      </c>
      <c r="G1662" s="54" t="str">
        <f t="shared" si="76"/>
        <v/>
      </c>
      <c r="H1662" s="54" t="str">
        <f t="shared" si="77"/>
        <v/>
      </c>
    </row>
    <row r="1663" spans="5:8" x14ac:dyDescent="0.25">
      <c r="E1663" s="54" t="str">
        <f>IF(A1663="","",SUMIF('Daftar Transaksi'!D:D,A1663,'Daftar Transaksi'!F:F))</f>
        <v/>
      </c>
      <c r="F1663" s="54" t="str">
        <f t="shared" ref="F1663:F1726" si="78">IF(A1663="","",D1663-E1663)</f>
        <v/>
      </c>
      <c r="G1663" s="54" t="str">
        <f t="shared" ref="G1663:G1726" si="79">IF(A1663="","",C1663*E1663)</f>
        <v/>
      </c>
      <c r="H1663" s="54" t="str">
        <f t="shared" ref="H1663:H1726" si="80">IF(A1663="","",G1663-(B1663*E1663))</f>
        <v/>
      </c>
    </row>
    <row r="1664" spans="5:8" x14ac:dyDescent="0.25">
      <c r="E1664" s="54" t="str">
        <f>IF(A1664="","",SUMIF('Daftar Transaksi'!D:D,A1664,'Daftar Transaksi'!F:F))</f>
        <v/>
      </c>
      <c r="F1664" s="54" t="str">
        <f t="shared" si="78"/>
        <v/>
      </c>
      <c r="G1664" s="54" t="str">
        <f t="shared" si="79"/>
        <v/>
      </c>
      <c r="H1664" s="54" t="str">
        <f t="shared" si="80"/>
        <v/>
      </c>
    </row>
    <row r="1665" spans="5:8" x14ac:dyDescent="0.25">
      <c r="E1665" s="54" t="str">
        <f>IF(A1665="","",SUMIF('Daftar Transaksi'!D:D,A1665,'Daftar Transaksi'!F:F))</f>
        <v/>
      </c>
      <c r="F1665" s="54" t="str">
        <f t="shared" si="78"/>
        <v/>
      </c>
      <c r="G1665" s="54" t="str">
        <f t="shared" si="79"/>
        <v/>
      </c>
      <c r="H1665" s="54" t="str">
        <f t="shared" si="80"/>
        <v/>
      </c>
    </row>
    <row r="1666" spans="5:8" x14ac:dyDescent="0.25">
      <c r="E1666" s="54" t="str">
        <f>IF(A1666="","",SUMIF('Daftar Transaksi'!D:D,A1666,'Daftar Transaksi'!F:F))</f>
        <v/>
      </c>
      <c r="F1666" s="54" t="str">
        <f t="shared" si="78"/>
        <v/>
      </c>
      <c r="G1666" s="54" t="str">
        <f t="shared" si="79"/>
        <v/>
      </c>
      <c r="H1666" s="54" t="str">
        <f t="shared" si="80"/>
        <v/>
      </c>
    </row>
    <row r="1667" spans="5:8" x14ac:dyDescent="0.25">
      <c r="E1667" s="54" t="str">
        <f>IF(A1667="","",SUMIF('Daftar Transaksi'!D:D,A1667,'Daftar Transaksi'!F:F))</f>
        <v/>
      </c>
      <c r="F1667" s="54" t="str">
        <f t="shared" si="78"/>
        <v/>
      </c>
      <c r="G1667" s="54" t="str">
        <f t="shared" si="79"/>
        <v/>
      </c>
      <c r="H1667" s="54" t="str">
        <f t="shared" si="80"/>
        <v/>
      </c>
    </row>
    <row r="1668" spans="5:8" x14ac:dyDescent="0.25">
      <c r="E1668" s="54" t="str">
        <f>IF(A1668="","",SUMIF('Daftar Transaksi'!D:D,A1668,'Daftar Transaksi'!F:F))</f>
        <v/>
      </c>
      <c r="F1668" s="54" t="str">
        <f t="shared" si="78"/>
        <v/>
      </c>
      <c r="G1668" s="54" t="str">
        <f t="shared" si="79"/>
        <v/>
      </c>
      <c r="H1668" s="54" t="str">
        <f t="shared" si="80"/>
        <v/>
      </c>
    </row>
    <row r="1669" spans="5:8" x14ac:dyDescent="0.25">
      <c r="E1669" s="54" t="str">
        <f>IF(A1669="","",SUMIF('Daftar Transaksi'!D:D,A1669,'Daftar Transaksi'!F:F))</f>
        <v/>
      </c>
      <c r="F1669" s="54" t="str">
        <f t="shared" si="78"/>
        <v/>
      </c>
      <c r="G1669" s="54" t="str">
        <f t="shared" si="79"/>
        <v/>
      </c>
      <c r="H1669" s="54" t="str">
        <f t="shared" si="80"/>
        <v/>
      </c>
    </row>
    <row r="1670" spans="5:8" x14ac:dyDescent="0.25">
      <c r="E1670" s="54" t="str">
        <f>IF(A1670="","",SUMIF('Daftar Transaksi'!D:D,A1670,'Daftar Transaksi'!F:F))</f>
        <v/>
      </c>
      <c r="F1670" s="54" t="str">
        <f t="shared" si="78"/>
        <v/>
      </c>
      <c r="G1670" s="54" t="str">
        <f t="shared" si="79"/>
        <v/>
      </c>
      <c r="H1670" s="54" t="str">
        <f t="shared" si="80"/>
        <v/>
      </c>
    </row>
    <row r="1671" spans="5:8" x14ac:dyDescent="0.25">
      <c r="E1671" s="54" t="str">
        <f>IF(A1671="","",SUMIF('Daftar Transaksi'!D:D,A1671,'Daftar Transaksi'!F:F))</f>
        <v/>
      </c>
      <c r="F1671" s="54" t="str">
        <f t="shared" si="78"/>
        <v/>
      </c>
      <c r="G1671" s="54" t="str">
        <f t="shared" si="79"/>
        <v/>
      </c>
      <c r="H1671" s="54" t="str">
        <f t="shared" si="80"/>
        <v/>
      </c>
    </row>
    <row r="1672" spans="5:8" x14ac:dyDescent="0.25">
      <c r="E1672" s="54" t="str">
        <f>IF(A1672="","",SUMIF('Daftar Transaksi'!D:D,A1672,'Daftar Transaksi'!F:F))</f>
        <v/>
      </c>
      <c r="F1672" s="54" t="str">
        <f t="shared" si="78"/>
        <v/>
      </c>
      <c r="G1672" s="54" t="str">
        <f t="shared" si="79"/>
        <v/>
      </c>
      <c r="H1672" s="54" t="str">
        <f t="shared" si="80"/>
        <v/>
      </c>
    </row>
    <row r="1673" spans="5:8" x14ac:dyDescent="0.25">
      <c r="E1673" s="54" t="str">
        <f>IF(A1673="","",SUMIF('Daftar Transaksi'!D:D,A1673,'Daftar Transaksi'!F:F))</f>
        <v/>
      </c>
      <c r="F1673" s="54" t="str">
        <f t="shared" si="78"/>
        <v/>
      </c>
      <c r="G1673" s="54" t="str">
        <f t="shared" si="79"/>
        <v/>
      </c>
      <c r="H1673" s="54" t="str">
        <f t="shared" si="80"/>
        <v/>
      </c>
    </row>
    <row r="1674" spans="5:8" x14ac:dyDescent="0.25">
      <c r="E1674" s="54" t="str">
        <f>IF(A1674="","",SUMIF('Daftar Transaksi'!D:D,A1674,'Daftar Transaksi'!F:F))</f>
        <v/>
      </c>
      <c r="F1674" s="54" t="str">
        <f t="shared" si="78"/>
        <v/>
      </c>
      <c r="G1674" s="54" t="str">
        <f t="shared" si="79"/>
        <v/>
      </c>
      <c r="H1674" s="54" t="str">
        <f t="shared" si="80"/>
        <v/>
      </c>
    </row>
    <row r="1675" spans="5:8" x14ac:dyDescent="0.25">
      <c r="E1675" s="54" t="str">
        <f>IF(A1675="","",SUMIF('Daftar Transaksi'!D:D,A1675,'Daftar Transaksi'!F:F))</f>
        <v/>
      </c>
      <c r="F1675" s="54" t="str">
        <f t="shared" si="78"/>
        <v/>
      </c>
      <c r="G1675" s="54" t="str">
        <f t="shared" si="79"/>
        <v/>
      </c>
      <c r="H1675" s="54" t="str">
        <f t="shared" si="80"/>
        <v/>
      </c>
    </row>
    <row r="1676" spans="5:8" x14ac:dyDescent="0.25">
      <c r="E1676" s="54" t="str">
        <f>IF(A1676="","",SUMIF('Daftar Transaksi'!D:D,A1676,'Daftar Transaksi'!F:F))</f>
        <v/>
      </c>
      <c r="F1676" s="54" t="str">
        <f t="shared" si="78"/>
        <v/>
      </c>
      <c r="G1676" s="54" t="str">
        <f t="shared" si="79"/>
        <v/>
      </c>
      <c r="H1676" s="54" t="str">
        <f t="shared" si="80"/>
        <v/>
      </c>
    </row>
    <row r="1677" spans="5:8" x14ac:dyDescent="0.25">
      <c r="E1677" s="54" t="str">
        <f>IF(A1677="","",SUMIF('Daftar Transaksi'!D:D,A1677,'Daftar Transaksi'!F:F))</f>
        <v/>
      </c>
      <c r="F1677" s="54" t="str">
        <f t="shared" si="78"/>
        <v/>
      </c>
      <c r="G1677" s="54" t="str">
        <f t="shared" si="79"/>
        <v/>
      </c>
      <c r="H1677" s="54" t="str">
        <f t="shared" si="80"/>
        <v/>
      </c>
    </row>
    <row r="1678" spans="5:8" x14ac:dyDescent="0.25">
      <c r="E1678" s="54" t="str">
        <f>IF(A1678="","",SUMIF('Daftar Transaksi'!D:D,A1678,'Daftar Transaksi'!F:F))</f>
        <v/>
      </c>
      <c r="F1678" s="54" t="str">
        <f t="shared" si="78"/>
        <v/>
      </c>
      <c r="G1678" s="54" t="str">
        <f t="shared" si="79"/>
        <v/>
      </c>
      <c r="H1678" s="54" t="str">
        <f t="shared" si="80"/>
        <v/>
      </c>
    </row>
    <row r="1679" spans="5:8" x14ac:dyDescent="0.25">
      <c r="E1679" s="54" t="str">
        <f>IF(A1679="","",SUMIF('Daftar Transaksi'!D:D,A1679,'Daftar Transaksi'!F:F))</f>
        <v/>
      </c>
      <c r="F1679" s="54" t="str">
        <f t="shared" si="78"/>
        <v/>
      </c>
      <c r="G1679" s="54" t="str">
        <f t="shared" si="79"/>
        <v/>
      </c>
      <c r="H1679" s="54" t="str">
        <f t="shared" si="80"/>
        <v/>
      </c>
    </row>
    <row r="1680" spans="5:8" x14ac:dyDescent="0.25">
      <c r="E1680" s="54" t="str">
        <f>IF(A1680="","",SUMIF('Daftar Transaksi'!D:D,A1680,'Daftar Transaksi'!F:F))</f>
        <v/>
      </c>
      <c r="F1680" s="54" t="str">
        <f t="shared" si="78"/>
        <v/>
      </c>
      <c r="G1680" s="54" t="str">
        <f t="shared" si="79"/>
        <v/>
      </c>
      <c r="H1680" s="54" t="str">
        <f t="shared" si="80"/>
        <v/>
      </c>
    </row>
    <row r="1681" spans="5:8" x14ac:dyDescent="0.25">
      <c r="E1681" s="54" t="str">
        <f>IF(A1681="","",SUMIF('Daftar Transaksi'!D:D,A1681,'Daftar Transaksi'!F:F))</f>
        <v/>
      </c>
      <c r="F1681" s="54" t="str">
        <f t="shared" si="78"/>
        <v/>
      </c>
      <c r="G1681" s="54" t="str">
        <f t="shared" si="79"/>
        <v/>
      </c>
      <c r="H1681" s="54" t="str">
        <f t="shared" si="80"/>
        <v/>
      </c>
    </row>
    <row r="1682" spans="5:8" x14ac:dyDescent="0.25">
      <c r="E1682" s="54" t="str">
        <f>IF(A1682="","",SUMIF('Daftar Transaksi'!D:D,A1682,'Daftar Transaksi'!F:F))</f>
        <v/>
      </c>
      <c r="F1682" s="54" t="str">
        <f t="shared" si="78"/>
        <v/>
      </c>
      <c r="G1682" s="54" t="str">
        <f t="shared" si="79"/>
        <v/>
      </c>
      <c r="H1682" s="54" t="str">
        <f t="shared" si="80"/>
        <v/>
      </c>
    </row>
    <row r="1683" spans="5:8" x14ac:dyDescent="0.25">
      <c r="E1683" s="54" t="str">
        <f>IF(A1683="","",SUMIF('Daftar Transaksi'!D:D,A1683,'Daftar Transaksi'!F:F))</f>
        <v/>
      </c>
      <c r="F1683" s="54" t="str">
        <f t="shared" si="78"/>
        <v/>
      </c>
      <c r="G1683" s="54" t="str">
        <f t="shared" si="79"/>
        <v/>
      </c>
      <c r="H1683" s="54" t="str">
        <f t="shared" si="80"/>
        <v/>
      </c>
    </row>
    <row r="1684" spans="5:8" x14ac:dyDescent="0.25">
      <c r="E1684" s="54" t="str">
        <f>IF(A1684="","",SUMIF('Daftar Transaksi'!D:D,A1684,'Daftar Transaksi'!F:F))</f>
        <v/>
      </c>
      <c r="F1684" s="54" t="str">
        <f t="shared" si="78"/>
        <v/>
      </c>
      <c r="G1684" s="54" t="str">
        <f t="shared" si="79"/>
        <v/>
      </c>
      <c r="H1684" s="54" t="str">
        <f t="shared" si="80"/>
        <v/>
      </c>
    </row>
    <row r="1685" spans="5:8" x14ac:dyDescent="0.25">
      <c r="E1685" s="54" t="str">
        <f>IF(A1685="","",SUMIF('Daftar Transaksi'!D:D,A1685,'Daftar Transaksi'!F:F))</f>
        <v/>
      </c>
      <c r="F1685" s="54" t="str">
        <f t="shared" si="78"/>
        <v/>
      </c>
      <c r="G1685" s="54" t="str">
        <f t="shared" si="79"/>
        <v/>
      </c>
      <c r="H1685" s="54" t="str">
        <f t="shared" si="80"/>
        <v/>
      </c>
    </row>
    <row r="1686" spans="5:8" x14ac:dyDescent="0.25">
      <c r="E1686" s="54" t="str">
        <f>IF(A1686="","",SUMIF('Daftar Transaksi'!D:D,A1686,'Daftar Transaksi'!F:F))</f>
        <v/>
      </c>
      <c r="F1686" s="54" t="str">
        <f t="shared" si="78"/>
        <v/>
      </c>
      <c r="G1686" s="54" t="str">
        <f t="shared" si="79"/>
        <v/>
      </c>
      <c r="H1686" s="54" t="str">
        <f t="shared" si="80"/>
        <v/>
      </c>
    </row>
    <row r="1687" spans="5:8" x14ac:dyDescent="0.25">
      <c r="E1687" s="54" t="str">
        <f>IF(A1687="","",SUMIF('Daftar Transaksi'!D:D,A1687,'Daftar Transaksi'!F:F))</f>
        <v/>
      </c>
      <c r="F1687" s="54" t="str">
        <f t="shared" si="78"/>
        <v/>
      </c>
      <c r="G1687" s="54" t="str">
        <f t="shared" si="79"/>
        <v/>
      </c>
      <c r="H1687" s="54" t="str">
        <f t="shared" si="80"/>
        <v/>
      </c>
    </row>
    <row r="1688" spans="5:8" x14ac:dyDescent="0.25">
      <c r="E1688" s="54" t="str">
        <f>IF(A1688="","",SUMIF('Daftar Transaksi'!D:D,A1688,'Daftar Transaksi'!F:F))</f>
        <v/>
      </c>
      <c r="F1688" s="54" t="str">
        <f t="shared" si="78"/>
        <v/>
      </c>
      <c r="G1688" s="54" t="str">
        <f t="shared" si="79"/>
        <v/>
      </c>
      <c r="H1688" s="54" t="str">
        <f t="shared" si="80"/>
        <v/>
      </c>
    </row>
    <row r="1689" spans="5:8" x14ac:dyDescent="0.25">
      <c r="E1689" s="54" t="str">
        <f>IF(A1689="","",SUMIF('Daftar Transaksi'!D:D,A1689,'Daftar Transaksi'!F:F))</f>
        <v/>
      </c>
      <c r="F1689" s="54" t="str">
        <f t="shared" si="78"/>
        <v/>
      </c>
      <c r="G1689" s="54" t="str">
        <f t="shared" si="79"/>
        <v/>
      </c>
      <c r="H1689" s="54" t="str">
        <f t="shared" si="80"/>
        <v/>
      </c>
    </row>
    <row r="1690" spans="5:8" x14ac:dyDescent="0.25">
      <c r="E1690" s="54" t="str">
        <f>IF(A1690="","",SUMIF('Daftar Transaksi'!D:D,A1690,'Daftar Transaksi'!F:F))</f>
        <v/>
      </c>
      <c r="F1690" s="54" t="str">
        <f t="shared" si="78"/>
        <v/>
      </c>
      <c r="G1690" s="54" t="str">
        <f t="shared" si="79"/>
        <v/>
      </c>
      <c r="H1690" s="54" t="str">
        <f t="shared" si="80"/>
        <v/>
      </c>
    </row>
    <row r="1691" spans="5:8" x14ac:dyDescent="0.25">
      <c r="E1691" s="54" t="str">
        <f>IF(A1691="","",SUMIF('Daftar Transaksi'!D:D,A1691,'Daftar Transaksi'!F:F))</f>
        <v/>
      </c>
      <c r="F1691" s="54" t="str">
        <f t="shared" si="78"/>
        <v/>
      </c>
      <c r="G1691" s="54" t="str">
        <f t="shared" si="79"/>
        <v/>
      </c>
      <c r="H1691" s="54" t="str">
        <f t="shared" si="80"/>
        <v/>
      </c>
    </row>
    <row r="1692" spans="5:8" x14ac:dyDescent="0.25">
      <c r="E1692" s="54" t="str">
        <f>IF(A1692="","",SUMIF('Daftar Transaksi'!D:D,A1692,'Daftar Transaksi'!F:F))</f>
        <v/>
      </c>
      <c r="F1692" s="54" t="str">
        <f t="shared" si="78"/>
        <v/>
      </c>
      <c r="G1692" s="54" t="str">
        <f t="shared" si="79"/>
        <v/>
      </c>
      <c r="H1692" s="54" t="str">
        <f t="shared" si="80"/>
        <v/>
      </c>
    </row>
    <row r="1693" spans="5:8" x14ac:dyDescent="0.25">
      <c r="E1693" s="54" t="str">
        <f>IF(A1693="","",SUMIF('Daftar Transaksi'!D:D,A1693,'Daftar Transaksi'!F:F))</f>
        <v/>
      </c>
      <c r="F1693" s="54" t="str">
        <f t="shared" si="78"/>
        <v/>
      </c>
      <c r="G1693" s="54" t="str">
        <f t="shared" si="79"/>
        <v/>
      </c>
      <c r="H1693" s="54" t="str">
        <f t="shared" si="80"/>
        <v/>
      </c>
    </row>
    <row r="1694" spans="5:8" x14ac:dyDescent="0.25">
      <c r="E1694" s="54" t="str">
        <f>IF(A1694="","",SUMIF('Daftar Transaksi'!D:D,A1694,'Daftar Transaksi'!F:F))</f>
        <v/>
      </c>
      <c r="F1694" s="54" t="str">
        <f t="shared" si="78"/>
        <v/>
      </c>
      <c r="G1694" s="54" t="str">
        <f t="shared" si="79"/>
        <v/>
      </c>
      <c r="H1694" s="54" t="str">
        <f t="shared" si="80"/>
        <v/>
      </c>
    </row>
    <row r="1695" spans="5:8" x14ac:dyDescent="0.25">
      <c r="E1695" s="54" t="str">
        <f>IF(A1695="","",SUMIF('Daftar Transaksi'!D:D,A1695,'Daftar Transaksi'!F:F))</f>
        <v/>
      </c>
      <c r="F1695" s="54" t="str">
        <f t="shared" si="78"/>
        <v/>
      </c>
      <c r="G1695" s="54" t="str">
        <f t="shared" si="79"/>
        <v/>
      </c>
      <c r="H1695" s="54" t="str">
        <f t="shared" si="80"/>
        <v/>
      </c>
    </row>
    <row r="1696" spans="5:8" x14ac:dyDescent="0.25">
      <c r="E1696" s="54" t="str">
        <f>IF(A1696="","",SUMIF('Daftar Transaksi'!D:D,A1696,'Daftar Transaksi'!F:F))</f>
        <v/>
      </c>
      <c r="F1696" s="54" t="str">
        <f t="shared" si="78"/>
        <v/>
      </c>
      <c r="G1696" s="54" t="str">
        <f t="shared" si="79"/>
        <v/>
      </c>
      <c r="H1696" s="54" t="str">
        <f t="shared" si="80"/>
        <v/>
      </c>
    </row>
    <row r="1697" spans="5:8" x14ac:dyDescent="0.25">
      <c r="E1697" s="54" t="str">
        <f>IF(A1697="","",SUMIF('Daftar Transaksi'!D:D,A1697,'Daftar Transaksi'!F:F))</f>
        <v/>
      </c>
      <c r="F1697" s="54" t="str">
        <f t="shared" si="78"/>
        <v/>
      </c>
      <c r="G1697" s="54" t="str">
        <f t="shared" si="79"/>
        <v/>
      </c>
      <c r="H1697" s="54" t="str">
        <f t="shared" si="80"/>
        <v/>
      </c>
    </row>
    <row r="1698" spans="5:8" x14ac:dyDescent="0.25">
      <c r="E1698" s="54" t="str">
        <f>IF(A1698="","",SUMIF('Daftar Transaksi'!D:D,A1698,'Daftar Transaksi'!F:F))</f>
        <v/>
      </c>
      <c r="F1698" s="54" t="str">
        <f t="shared" si="78"/>
        <v/>
      </c>
      <c r="G1698" s="54" t="str">
        <f t="shared" si="79"/>
        <v/>
      </c>
      <c r="H1698" s="54" t="str">
        <f t="shared" si="80"/>
        <v/>
      </c>
    </row>
    <row r="1699" spans="5:8" x14ac:dyDescent="0.25">
      <c r="E1699" s="54" t="str">
        <f>IF(A1699="","",SUMIF('Daftar Transaksi'!D:D,A1699,'Daftar Transaksi'!F:F))</f>
        <v/>
      </c>
      <c r="F1699" s="54" t="str">
        <f t="shared" si="78"/>
        <v/>
      </c>
      <c r="G1699" s="54" t="str">
        <f t="shared" si="79"/>
        <v/>
      </c>
      <c r="H1699" s="54" t="str">
        <f t="shared" si="80"/>
        <v/>
      </c>
    </row>
    <row r="1700" spans="5:8" x14ac:dyDescent="0.25">
      <c r="E1700" s="54" t="str">
        <f>IF(A1700="","",SUMIF('Daftar Transaksi'!D:D,A1700,'Daftar Transaksi'!F:F))</f>
        <v/>
      </c>
      <c r="F1700" s="54" t="str">
        <f t="shared" si="78"/>
        <v/>
      </c>
      <c r="G1700" s="54" t="str">
        <f t="shared" si="79"/>
        <v/>
      </c>
      <c r="H1700" s="54" t="str">
        <f t="shared" si="80"/>
        <v/>
      </c>
    </row>
    <row r="1701" spans="5:8" x14ac:dyDescent="0.25">
      <c r="E1701" s="54" t="str">
        <f>IF(A1701="","",SUMIF('Daftar Transaksi'!D:D,A1701,'Daftar Transaksi'!F:F))</f>
        <v/>
      </c>
      <c r="F1701" s="54" t="str">
        <f t="shared" si="78"/>
        <v/>
      </c>
      <c r="G1701" s="54" t="str">
        <f t="shared" si="79"/>
        <v/>
      </c>
      <c r="H1701" s="54" t="str">
        <f t="shared" si="80"/>
        <v/>
      </c>
    </row>
    <row r="1702" spans="5:8" x14ac:dyDescent="0.25">
      <c r="E1702" s="54" t="str">
        <f>IF(A1702="","",SUMIF('Daftar Transaksi'!D:D,A1702,'Daftar Transaksi'!F:F))</f>
        <v/>
      </c>
      <c r="F1702" s="54" t="str">
        <f t="shared" si="78"/>
        <v/>
      </c>
      <c r="G1702" s="54" t="str">
        <f t="shared" si="79"/>
        <v/>
      </c>
      <c r="H1702" s="54" t="str">
        <f t="shared" si="80"/>
        <v/>
      </c>
    </row>
    <row r="1703" spans="5:8" x14ac:dyDescent="0.25">
      <c r="E1703" s="54" t="str">
        <f>IF(A1703="","",SUMIF('Daftar Transaksi'!D:D,A1703,'Daftar Transaksi'!F:F))</f>
        <v/>
      </c>
      <c r="F1703" s="54" t="str">
        <f t="shared" si="78"/>
        <v/>
      </c>
      <c r="G1703" s="54" t="str">
        <f t="shared" si="79"/>
        <v/>
      </c>
      <c r="H1703" s="54" t="str">
        <f t="shared" si="80"/>
        <v/>
      </c>
    </row>
    <row r="1704" spans="5:8" x14ac:dyDescent="0.25">
      <c r="E1704" s="54" t="str">
        <f>IF(A1704="","",SUMIF('Daftar Transaksi'!D:D,A1704,'Daftar Transaksi'!F:F))</f>
        <v/>
      </c>
      <c r="F1704" s="54" t="str">
        <f t="shared" si="78"/>
        <v/>
      </c>
      <c r="G1704" s="54" t="str">
        <f t="shared" si="79"/>
        <v/>
      </c>
      <c r="H1704" s="54" t="str">
        <f t="shared" si="80"/>
        <v/>
      </c>
    </row>
    <row r="1705" spans="5:8" x14ac:dyDescent="0.25">
      <c r="E1705" s="54" t="str">
        <f>IF(A1705="","",SUMIF('Daftar Transaksi'!D:D,A1705,'Daftar Transaksi'!F:F))</f>
        <v/>
      </c>
      <c r="F1705" s="54" t="str">
        <f t="shared" si="78"/>
        <v/>
      </c>
      <c r="G1705" s="54" t="str">
        <f t="shared" si="79"/>
        <v/>
      </c>
      <c r="H1705" s="54" t="str">
        <f t="shared" si="80"/>
        <v/>
      </c>
    </row>
    <row r="1706" spans="5:8" x14ac:dyDescent="0.25">
      <c r="E1706" s="54" t="str">
        <f>IF(A1706="","",SUMIF('Daftar Transaksi'!D:D,A1706,'Daftar Transaksi'!F:F))</f>
        <v/>
      </c>
      <c r="F1706" s="54" t="str">
        <f t="shared" si="78"/>
        <v/>
      </c>
      <c r="G1706" s="54" t="str">
        <f t="shared" si="79"/>
        <v/>
      </c>
      <c r="H1706" s="54" t="str">
        <f t="shared" si="80"/>
        <v/>
      </c>
    </row>
    <row r="1707" spans="5:8" x14ac:dyDescent="0.25">
      <c r="E1707" s="54" t="str">
        <f>IF(A1707="","",SUMIF('Daftar Transaksi'!D:D,A1707,'Daftar Transaksi'!F:F))</f>
        <v/>
      </c>
      <c r="F1707" s="54" t="str">
        <f t="shared" si="78"/>
        <v/>
      </c>
      <c r="G1707" s="54" t="str">
        <f t="shared" si="79"/>
        <v/>
      </c>
      <c r="H1707" s="54" t="str">
        <f t="shared" si="80"/>
        <v/>
      </c>
    </row>
    <row r="1708" spans="5:8" x14ac:dyDescent="0.25">
      <c r="E1708" s="54" t="str">
        <f>IF(A1708="","",SUMIF('Daftar Transaksi'!D:D,A1708,'Daftar Transaksi'!F:F))</f>
        <v/>
      </c>
      <c r="F1708" s="54" t="str">
        <f t="shared" si="78"/>
        <v/>
      </c>
      <c r="G1708" s="54" t="str">
        <f t="shared" si="79"/>
        <v/>
      </c>
      <c r="H1708" s="54" t="str">
        <f t="shared" si="80"/>
        <v/>
      </c>
    </row>
    <row r="1709" spans="5:8" x14ac:dyDescent="0.25">
      <c r="E1709" s="54" t="str">
        <f>IF(A1709="","",SUMIF('Daftar Transaksi'!D:D,A1709,'Daftar Transaksi'!F:F))</f>
        <v/>
      </c>
      <c r="F1709" s="54" t="str">
        <f t="shared" si="78"/>
        <v/>
      </c>
      <c r="G1709" s="54" t="str">
        <f t="shared" si="79"/>
        <v/>
      </c>
      <c r="H1709" s="54" t="str">
        <f t="shared" si="80"/>
        <v/>
      </c>
    </row>
    <row r="1710" spans="5:8" x14ac:dyDescent="0.25">
      <c r="E1710" s="54" t="str">
        <f>IF(A1710="","",SUMIF('Daftar Transaksi'!D:D,A1710,'Daftar Transaksi'!F:F))</f>
        <v/>
      </c>
      <c r="F1710" s="54" t="str">
        <f t="shared" si="78"/>
        <v/>
      </c>
      <c r="G1710" s="54" t="str">
        <f t="shared" si="79"/>
        <v/>
      </c>
      <c r="H1710" s="54" t="str">
        <f t="shared" si="80"/>
        <v/>
      </c>
    </row>
    <row r="1711" spans="5:8" x14ac:dyDescent="0.25">
      <c r="E1711" s="54" t="str">
        <f>IF(A1711="","",SUMIF('Daftar Transaksi'!D:D,A1711,'Daftar Transaksi'!F:F))</f>
        <v/>
      </c>
      <c r="F1711" s="54" t="str">
        <f t="shared" si="78"/>
        <v/>
      </c>
      <c r="G1711" s="54" t="str">
        <f t="shared" si="79"/>
        <v/>
      </c>
      <c r="H1711" s="54" t="str">
        <f t="shared" si="80"/>
        <v/>
      </c>
    </row>
    <row r="1712" spans="5:8" x14ac:dyDescent="0.25">
      <c r="E1712" s="54" t="str">
        <f>IF(A1712="","",SUMIF('Daftar Transaksi'!D:D,A1712,'Daftar Transaksi'!F:F))</f>
        <v/>
      </c>
      <c r="F1712" s="54" t="str">
        <f t="shared" si="78"/>
        <v/>
      </c>
      <c r="G1712" s="54" t="str">
        <f t="shared" si="79"/>
        <v/>
      </c>
      <c r="H1712" s="54" t="str">
        <f t="shared" si="80"/>
        <v/>
      </c>
    </row>
    <row r="1713" spans="5:8" x14ac:dyDescent="0.25">
      <c r="E1713" s="54" t="str">
        <f>IF(A1713="","",SUMIF('Daftar Transaksi'!D:D,A1713,'Daftar Transaksi'!F:F))</f>
        <v/>
      </c>
      <c r="F1713" s="54" t="str">
        <f t="shared" si="78"/>
        <v/>
      </c>
      <c r="G1713" s="54" t="str">
        <f t="shared" si="79"/>
        <v/>
      </c>
      <c r="H1713" s="54" t="str">
        <f t="shared" si="80"/>
        <v/>
      </c>
    </row>
    <row r="1714" spans="5:8" x14ac:dyDescent="0.25">
      <c r="E1714" s="54" t="str">
        <f>IF(A1714="","",SUMIF('Daftar Transaksi'!D:D,A1714,'Daftar Transaksi'!F:F))</f>
        <v/>
      </c>
      <c r="F1714" s="54" t="str">
        <f t="shared" si="78"/>
        <v/>
      </c>
      <c r="G1714" s="54" t="str">
        <f t="shared" si="79"/>
        <v/>
      </c>
      <c r="H1714" s="54" t="str">
        <f t="shared" si="80"/>
        <v/>
      </c>
    </row>
    <row r="1715" spans="5:8" x14ac:dyDescent="0.25">
      <c r="E1715" s="54" t="str">
        <f>IF(A1715="","",SUMIF('Daftar Transaksi'!D:D,A1715,'Daftar Transaksi'!F:F))</f>
        <v/>
      </c>
      <c r="F1715" s="54" t="str">
        <f t="shared" si="78"/>
        <v/>
      </c>
      <c r="G1715" s="54" t="str">
        <f t="shared" si="79"/>
        <v/>
      </c>
      <c r="H1715" s="54" t="str">
        <f t="shared" si="80"/>
        <v/>
      </c>
    </row>
    <row r="1716" spans="5:8" x14ac:dyDescent="0.25">
      <c r="E1716" s="54" t="str">
        <f>IF(A1716="","",SUMIF('Daftar Transaksi'!D:D,A1716,'Daftar Transaksi'!F:F))</f>
        <v/>
      </c>
      <c r="F1716" s="54" t="str">
        <f t="shared" si="78"/>
        <v/>
      </c>
      <c r="G1716" s="54" t="str">
        <f t="shared" si="79"/>
        <v/>
      </c>
      <c r="H1716" s="54" t="str">
        <f t="shared" si="80"/>
        <v/>
      </c>
    </row>
    <row r="1717" spans="5:8" x14ac:dyDescent="0.25">
      <c r="E1717" s="54" t="str">
        <f>IF(A1717="","",SUMIF('Daftar Transaksi'!D:D,A1717,'Daftar Transaksi'!F:F))</f>
        <v/>
      </c>
      <c r="F1717" s="54" t="str">
        <f t="shared" si="78"/>
        <v/>
      </c>
      <c r="G1717" s="54" t="str">
        <f t="shared" si="79"/>
        <v/>
      </c>
      <c r="H1717" s="54" t="str">
        <f t="shared" si="80"/>
        <v/>
      </c>
    </row>
    <row r="1718" spans="5:8" x14ac:dyDescent="0.25">
      <c r="E1718" s="54" t="str">
        <f>IF(A1718="","",SUMIF('Daftar Transaksi'!D:D,A1718,'Daftar Transaksi'!F:F))</f>
        <v/>
      </c>
      <c r="F1718" s="54" t="str">
        <f t="shared" si="78"/>
        <v/>
      </c>
      <c r="G1718" s="54" t="str">
        <f t="shared" si="79"/>
        <v/>
      </c>
      <c r="H1718" s="54" t="str">
        <f t="shared" si="80"/>
        <v/>
      </c>
    </row>
    <row r="1719" spans="5:8" x14ac:dyDescent="0.25">
      <c r="E1719" s="54" t="str">
        <f>IF(A1719="","",SUMIF('Daftar Transaksi'!D:D,A1719,'Daftar Transaksi'!F:F))</f>
        <v/>
      </c>
      <c r="F1719" s="54" t="str">
        <f t="shared" si="78"/>
        <v/>
      </c>
      <c r="G1719" s="54" t="str">
        <f t="shared" si="79"/>
        <v/>
      </c>
      <c r="H1719" s="54" t="str">
        <f t="shared" si="80"/>
        <v/>
      </c>
    </row>
    <row r="1720" spans="5:8" x14ac:dyDescent="0.25">
      <c r="E1720" s="54" t="str">
        <f>IF(A1720="","",SUMIF('Daftar Transaksi'!D:D,A1720,'Daftar Transaksi'!F:F))</f>
        <v/>
      </c>
      <c r="F1720" s="54" t="str">
        <f t="shared" si="78"/>
        <v/>
      </c>
      <c r="G1720" s="54" t="str">
        <f t="shared" si="79"/>
        <v/>
      </c>
      <c r="H1720" s="54" t="str">
        <f t="shared" si="80"/>
        <v/>
      </c>
    </row>
    <row r="1721" spans="5:8" x14ac:dyDescent="0.25">
      <c r="E1721" s="54" t="str">
        <f>IF(A1721="","",SUMIF('Daftar Transaksi'!D:D,A1721,'Daftar Transaksi'!F:F))</f>
        <v/>
      </c>
      <c r="F1721" s="54" t="str">
        <f t="shared" si="78"/>
        <v/>
      </c>
      <c r="G1721" s="54" t="str">
        <f t="shared" si="79"/>
        <v/>
      </c>
      <c r="H1721" s="54" t="str">
        <f t="shared" si="80"/>
        <v/>
      </c>
    </row>
    <row r="1722" spans="5:8" x14ac:dyDescent="0.25">
      <c r="E1722" s="54" t="str">
        <f>IF(A1722="","",SUMIF('Daftar Transaksi'!D:D,A1722,'Daftar Transaksi'!F:F))</f>
        <v/>
      </c>
      <c r="F1722" s="54" t="str">
        <f t="shared" si="78"/>
        <v/>
      </c>
      <c r="G1722" s="54" t="str">
        <f t="shared" si="79"/>
        <v/>
      </c>
      <c r="H1722" s="54" t="str">
        <f t="shared" si="80"/>
        <v/>
      </c>
    </row>
    <row r="1723" spans="5:8" x14ac:dyDescent="0.25">
      <c r="E1723" s="54" t="str">
        <f>IF(A1723="","",SUMIF('Daftar Transaksi'!D:D,A1723,'Daftar Transaksi'!F:F))</f>
        <v/>
      </c>
      <c r="F1723" s="54" t="str">
        <f t="shared" si="78"/>
        <v/>
      </c>
      <c r="G1723" s="54" t="str">
        <f t="shared" si="79"/>
        <v/>
      </c>
      <c r="H1723" s="54" t="str">
        <f t="shared" si="80"/>
        <v/>
      </c>
    </row>
    <row r="1724" spans="5:8" x14ac:dyDescent="0.25">
      <c r="E1724" s="54" t="str">
        <f>IF(A1724="","",SUMIF('Daftar Transaksi'!D:D,A1724,'Daftar Transaksi'!F:F))</f>
        <v/>
      </c>
      <c r="F1724" s="54" t="str">
        <f t="shared" si="78"/>
        <v/>
      </c>
      <c r="G1724" s="54" t="str">
        <f t="shared" si="79"/>
        <v/>
      </c>
      <c r="H1724" s="54" t="str">
        <f t="shared" si="80"/>
        <v/>
      </c>
    </row>
    <row r="1725" spans="5:8" x14ac:dyDescent="0.25">
      <c r="E1725" s="54" t="str">
        <f>IF(A1725="","",SUMIF('Daftar Transaksi'!D:D,A1725,'Daftar Transaksi'!F:F))</f>
        <v/>
      </c>
      <c r="F1725" s="54" t="str">
        <f t="shared" si="78"/>
        <v/>
      </c>
      <c r="G1725" s="54" t="str">
        <f t="shared" si="79"/>
        <v/>
      </c>
      <c r="H1725" s="54" t="str">
        <f t="shared" si="80"/>
        <v/>
      </c>
    </row>
    <row r="1726" spans="5:8" x14ac:dyDescent="0.25">
      <c r="E1726" s="54" t="str">
        <f>IF(A1726="","",SUMIF('Daftar Transaksi'!D:D,A1726,'Daftar Transaksi'!F:F))</f>
        <v/>
      </c>
      <c r="F1726" s="54" t="str">
        <f t="shared" si="78"/>
        <v/>
      </c>
      <c r="G1726" s="54" t="str">
        <f t="shared" si="79"/>
        <v/>
      </c>
      <c r="H1726" s="54" t="str">
        <f t="shared" si="80"/>
        <v/>
      </c>
    </row>
    <row r="1727" spans="5:8" x14ac:dyDescent="0.25">
      <c r="E1727" s="54" t="str">
        <f>IF(A1727="","",SUMIF('Daftar Transaksi'!D:D,A1727,'Daftar Transaksi'!F:F))</f>
        <v/>
      </c>
      <c r="F1727" s="54" t="str">
        <f t="shared" ref="F1727:F1790" si="81">IF(A1727="","",D1727-E1727)</f>
        <v/>
      </c>
      <c r="G1727" s="54" t="str">
        <f t="shared" ref="G1727:G1790" si="82">IF(A1727="","",C1727*E1727)</f>
        <v/>
      </c>
      <c r="H1727" s="54" t="str">
        <f t="shared" ref="H1727:H1790" si="83">IF(A1727="","",G1727-(B1727*E1727))</f>
        <v/>
      </c>
    </row>
    <row r="1728" spans="5:8" x14ac:dyDescent="0.25">
      <c r="E1728" s="54" t="str">
        <f>IF(A1728="","",SUMIF('Daftar Transaksi'!D:D,A1728,'Daftar Transaksi'!F:F))</f>
        <v/>
      </c>
      <c r="F1728" s="54" t="str">
        <f t="shared" si="81"/>
        <v/>
      </c>
      <c r="G1728" s="54" t="str">
        <f t="shared" si="82"/>
        <v/>
      </c>
      <c r="H1728" s="54" t="str">
        <f t="shared" si="83"/>
        <v/>
      </c>
    </row>
    <row r="1729" spans="5:8" x14ac:dyDescent="0.25">
      <c r="E1729" s="54" t="str">
        <f>IF(A1729="","",SUMIF('Daftar Transaksi'!D:D,A1729,'Daftar Transaksi'!F:F))</f>
        <v/>
      </c>
      <c r="F1729" s="54" t="str">
        <f t="shared" si="81"/>
        <v/>
      </c>
      <c r="G1729" s="54" t="str">
        <f t="shared" si="82"/>
        <v/>
      </c>
      <c r="H1729" s="54" t="str">
        <f t="shared" si="83"/>
        <v/>
      </c>
    </row>
    <row r="1730" spans="5:8" x14ac:dyDescent="0.25">
      <c r="E1730" s="54" t="str">
        <f>IF(A1730="","",SUMIF('Daftar Transaksi'!D:D,A1730,'Daftar Transaksi'!F:F))</f>
        <v/>
      </c>
      <c r="F1730" s="54" t="str">
        <f t="shared" si="81"/>
        <v/>
      </c>
      <c r="G1730" s="54" t="str">
        <f t="shared" si="82"/>
        <v/>
      </c>
      <c r="H1730" s="54" t="str">
        <f t="shared" si="83"/>
        <v/>
      </c>
    </row>
    <row r="1731" spans="5:8" x14ac:dyDescent="0.25">
      <c r="E1731" s="54" t="str">
        <f>IF(A1731="","",SUMIF('Daftar Transaksi'!D:D,A1731,'Daftar Transaksi'!F:F))</f>
        <v/>
      </c>
      <c r="F1731" s="54" t="str">
        <f t="shared" si="81"/>
        <v/>
      </c>
      <c r="G1731" s="54" t="str">
        <f t="shared" si="82"/>
        <v/>
      </c>
      <c r="H1731" s="54" t="str">
        <f t="shared" si="83"/>
        <v/>
      </c>
    </row>
    <row r="1732" spans="5:8" x14ac:dyDescent="0.25">
      <c r="E1732" s="54" t="str">
        <f>IF(A1732="","",SUMIF('Daftar Transaksi'!D:D,A1732,'Daftar Transaksi'!F:F))</f>
        <v/>
      </c>
      <c r="F1732" s="54" t="str">
        <f t="shared" si="81"/>
        <v/>
      </c>
      <c r="G1732" s="54" t="str">
        <f t="shared" si="82"/>
        <v/>
      </c>
      <c r="H1732" s="54" t="str">
        <f t="shared" si="83"/>
        <v/>
      </c>
    </row>
    <row r="1733" spans="5:8" x14ac:dyDescent="0.25">
      <c r="E1733" s="54" t="str">
        <f>IF(A1733="","",SUMIF('Daftar Transaksi'!D:D,A1733,'Daftar Transaksi'!F:F))</f>
        <v/>
      </c>
      <c r="F1733" s="54" t="str">
        <f t="shared" si="81"/>
        <v/>
      </c>
      <c r="G1733" s="54" t="str">
        <f t="shared" si="82"/>
        <v/>
      </c>
      <c r="H1733" s="54" t="str">
        <f t="shared" si="83"/>
        <v/>
      </c>
    </row>
    <row r="1734" spans="5:8" x14ac:dyDescent="0.25">
      <c r="E1734" s="54" t="str">
        <f>IF(A1734="","",SUMIF('Daftar Transaksi'!D:D,A1734,'Daftar Transaksi'!F:F))</f>
        <v/>
      </c>
      <c r="F1734" s="54" t="str">
        <f t="shared" si="81"/>
        <v/>
      </c>
      <c r="G1734" s="54" t="str">
        <f t="shared" si="82"/>
        <v/>
      </c>
      <c r="H1734" s="54" t="str">
        <f t="shared" si="83"/>
        <v/>
      </c>
    </row>
    <row r="1735" spans="5:8" x14ac:dyDescent="0.25">
      <c r="E1735" s="54" t="str">
        <f>IF(A1735="","",SUMIF('Daftar Transaksi'!D:D,A1735,'Daftar Transaksi'!F:F))</f>
        <v/>
      </c>
      <c r="F1735" s="54" t="str">
        <f t="shared" si="81"/>
        <v/>
      </c>
      <c r="G1735" s="54" t="str">
        <f t="shared" si="82"/>
        <v/>
      </c>
      <c r="H1735" s="54" t="str">
        <f t="shared" si="83"/>
        <v/>
      </c>
    </row>
    <row r="1736" spans="5:8" x14ac:dyDescent="0.25">
      <c r="E1736" s="54" t="str">
        <f>IF(A1736="","",SUMIF('Daftar Transaksi'!D:D,A1736,'Daftar Transaksi'!F:F))</f>
        <v/>
      </c>
      <c r="F1736" s="54" t="str">
        <f t="shared" si="81"/>
        <v/>
      </c>
      <c r="G1736" s="54" t="str">
        <f t="shared" si="82"/>
        <v/>
      </c>
      <c r="H1736" s="54" t="str">
        <f t="shared" si="83"/>
        <v/>
      </c>
    </row>
    <row r="1737" spans="5:8" x14ac:dyDescent="0.25">
      <c r="E1737" s="54" t="str">
        <f>IF(A1737="","",SUMIF('Daftar Transaksi'!D:D,A1737,'Daftar Transaksi'!F:F))</f>
        <v/>
      </c>
      <c r="F1737" s="54" t="str">
        <f t="shared" si="81"/>
        <v/>
      </c>
      <c r="G1737" s="54" t="str">
        <f t="shared" si="82"/>
        <v/>
      </c>
      <c r="H1737" s="54" t="str">
        <f t="shared" si="83"/>
        <v/>
      </c>
    </row>
    <row r="1738" spans="5:8" x14ac:dyDescent="0.25">
      <c r="E1738" s="54" t="str">
        <f>IF(A1738="","",SUMIF('Daftar Transaksi'!D:D,A1738,'Daftar Transaksi'!F:F))</f>
        <v/>
      </c>
      <c r="F1738" s="54" t="str">
        <f t="shared" si="81"/>
        <v/>
      </c>
      <c r="G1738" s="54" t="str">
        <f t="shared" si="82"/>
        <v/>
      </c>
      <c r="H1738" s="54" t="str">
        <f t="shared" si="83"/>
        <v/>
      </c>
    </row>
    <row r="1739" spans="5:8" x14ac:dyDescent="0.25">
      <c r="E1739" s="54" t="str">
        <f>IF(A1739="","",SUMIF('Daftar Transaksi'!D:D,A1739,'Daftar Transaksi'!F:F))</f>
        <v/>
      </c>
      <c r="F1739" s="54" t="str">
        <f t="shared" si="81"/>
        <v/>
      </c>
      <c r="G1739" s="54" t="str">
        <f t="shared" si="82"/>
        <v/>
      </c>
      <c r="H1739" s="54" t="str">
        <f t="shared" si="83"/>
        <v/>
      </c>
    </row>
    <row r="1740" spans="5:8" x14ac:dyDescent="0.25">
      <c r="E1740" s="54" t="str">
        <f>IF(A1740="","",SUMIF('Daftar Transaksi'!D:D,A1740,'Daftar Transaksi'!F:F))</f>
        <v/>
      </c>
      <c r="F1740" s="54" t="str">
        <f t="shared" si="81"/>
        <v/>
      </c>
      <c r="G1740" s="54" t="str">
        <f t="shared" si="82"/>
        <v/>
      </c>
      <c r="H1740" s="54" t="str">
        <f t="shared" si="83"/>
        <v/>
      </c>
    </row>
    <row r="1741" spans="5:8" x14ac:dyDescent="0.25">
      <c r="E1741" s="54" t="str">
        <f>IF(A1741="","",SUMIF('Daftar Transaksi'!D:D,A1741,'Daftar Transaksi'!F:F))</f>
        <v/>
      </c>
      <c r="F1741" s="54" t="str">
        <f t="shared" si="81"/>
        <v/>
      </c>
      <c r="G1741" s="54" t="str">
        <f t="shared" si="82"/>
        <v/>
      </c>
      <c r="H1741" s="54" t="str">
        <f t="shared" si="83"/>
        <v/>
      </c>
    </row>
    <row r="1742" spans="5:8" x14ac:dyDescent="0.25">
      <c r="E1742" s="54" t="str">
        <f>IF(A1742="","",SUMIF('Daftar Transaksi'!D:D,A1742,'Daftar Transaksi'!F:F))</f>
        <v/>
      </c>
      <c r="F1742" s="54" t="str">
        <f t="shared" si="81"/>
        <v/>
      </c>
      <c r="G1742" s="54" t="str">
        <f t="shared" si="82"/>
        <v/>
      </c>
      <c r="H1742" s="54" t="str">
        <f t="shared" si="83"/>
        <v/>
      </c>
    </row>
    <row r="1743" spans="5:8" x14ac:dyDescent="0.25">
      <c r="E1743" s="54" t="str">
        <f>IF(A1743="","",SUMIF('Daftar Transaksi'!D:D,A1743,'Daftar Transaksi'!F:F))</f>
        <v/>
      </c>
      <c r="F1743" s="54" t="str">
        <f t="shared" si="81"/>
        <v/>
      </c>
      <c r="G1743" s="54" t="str">
        <f t="shared" si="82"/>
        <v/>
      </c>
      <c r="H1743" s="54" t="str">
        <f t="shared" si="83"/>
        <v/>
      </c>
    </row>
    <row r="1744" spans="5:8" x14ac:dyDescent="0.25">
      <c r="E1744" s="54" t="str">
        <f>IF(A1744="","",SUMIF('Daftar Transaksi'!D:D,A1744,'Daftar Transaksi'!F:F))</f>
        <v/>
      </c>
      <c r="F1744" s="54" t="str">
        <f t="shared" si="81"/>
        <v/>
      </c>
      <c r="G1744" s="54" t="str">
        <f t="shared" si="82"/>
        <v/>
      </c>
      <c r="H1744" s="54" t="str">
        <f t="shared" si="83"/>
        <v/>
      </c>
    </row>
    <row r="1745" spans="5:8" x14ac:dyDescent="0.25">
      <c r="E1745" s="54" t="str">
        <f>IF(A1745="","",SUMIF('Daftar Transaksi'!D:D,A1745,'Daftar Transaksi'!F:F))</f>
        <v/>
      </c>
      <c r="F1745" s="54" t="str">
        <f t="shared" si="81"/>
        <v/>
      </c>
      <c r="G1745" s="54" t="str">
        <f t="shared" si="82"/>
        <v/>
      </c>
      <c r="H1745" s="54" t="str">
        <f t="shared" si="83"/>
        <v/>
      </c>
    </row>
    <row r="1746" spans="5:8" x14ac:dyDescent="0.25">
      <c r="E1746" s="54" t="str">
        <f>IF(A1746="","",SUMIF('Daftar Transaksi'!D:D,A1746,'Daftar Transaksi'!F:F))</f>
        <v/>
      </c>
      <c r="F1746" s="54" t="str">
        <f t="shared" si="81"/>
        <v/>
      </c>
      <c r="G1746" s="54" t="str">
        <f t="shared" si="82"/>
        <v/>
      </c>
      <c r="H1746" s="54" t="str">
        <f t="shared" si="83"/>
        <v/>
      </c>
    </row>
    <row r="1747" spans="5:8" x14ac:dyDescent="0.25">
      <c r="E1747" s="54" t="str">
        <f>IF(A1747="","",SUMIF('Daftar Transaksi'!D:D,A1747,'Daftar Transaksi'!F:F))</f>
        <v/>
      </c>
      <c r="F1747" s="54" t="str">
        <f t="shared" si="81"/>
        <v/>
      </c>
      <c r="G1747" s="54" t="str">
        <f t="shared" si="82"/>
        <v/>
      </c>
      <c r="H1747" s="54" t="str">
        <f t="shared" si="83"/>
        <v/>
      </c>
    </row>
    <row r="1748" spans="5:8" x14ac:dyDescent="0.25">
      <c r="E1748" s="54" t="str">
        <f>IF(A1748="","",SUMIF('Daftar Transaksi'!D:D,A1748,'Daftar Transaksi'!F:F))</f>
        <v/>
      </c>
      <c r="F1748" s="54" t="str">
        <f t="shared" si="81"/>
        <v/>
      </c>
      <c r="G1748" s="54" t="str">
        <f t="shared" si="82"/>
        <v/>
      </c>
      <c r="H1748" s="54" t="str">
        <f t="shared" si="83"/>
        <v/>
      </c>
    </row>
    <row r="1749" spans="5:8" x14ac:dyDescent="0.25">
      <c r="E1749" s="54" t="str">
        <f>IF(A1749="","",SUMIF('Daftar Transaksi'!D:D,A1749,'Daftar Transaksi'!F:F))</f>
        <v/>
      </c>
      <c r="F1749" s="54" t="str">
        <f t="shared" si="81"/>
        <v/>
      </c>
      <c r="G1749" s="54" t="str">
        <f t="shared" si="82"/>
        <v/>
      </c>
      <c r="H1749" s="54" t="str">
        <f t="shared" si="83"/>
        <v/>
      </c>
    </row>
    <row r="1750" spans="5:8" x14ac:dyDescent="0.25">
      <c r="E1750" s="54" t="str">
        <f>IF(A1750="","",SUMIF('Daftar Transaksi'!D:D,A1750,'Daftar Transaksi'!F:F))</f>
        <v/>
      </c>
      <c r="F1750" s="54" t="str">
        <f t="shared" si="81"/>
        <v/>
      </c>
      <c r="G1750" s="54" t="str">
        <f t="shared" si="82"/>
        <v/>
      </c>
      <c r="H1750" s="54" t="str">
        <f t="shared" si="83"/>
        <v/>
      </c>
    </row>
    <row r="1751" spans="5:8" x14ac:dyDescent="0.25">
      <c r="E1751" s="54" t="str">
        <f>IF(A1751="","",SUMIF('Daftar Transaksi'!D:D,A1751,'Daftar Transaksi'!F:F))</f>
        <v/>
      </c>
      <c r="F1751" s="54" t="str">
        <f t="shared" si="81"/>
        <v/>
      </c>
      <c r="G1751" s="54" t="str">
        <f t="shared" si="82"/>
        <v/>
      </c>
      <c r="H1751" s="54" t="str">
        <f t="shared" si="83"/>
        <v/>
      </c>
    </row>
    <row r="1752" spans="5:8" x14ac:dyDescent="0.25">
      <c r="E1752" s="54" t="str">
        <f>IF(A1752="","",SUMIF('Daftar Transaksi'!D:D,A1752,'Daftar Transaksi'!F:F))</f>
        <v/>
      </c>
      <c r="F1752" s="54" t="str">
        <f t="shared" si="81"/>
        <v/>
      </c>
      <c r="G1752" s="54" t="str">
        <f t="shared" si="82"/>
        <v/>
      </c>
      <c r="H1752" s="54" t="str">
        <f t="shared" si="83"/>
        <v/>
      </c>
    </row>
    <row r="1753" spans="5:8" x14ac:dyDescent="0.25">
      <c r="E1753" s="54" t="str">
        <f>IF(A1753="","",SUMIF('Daftar Transaksi'!D:D,A1753,'Daftar Transaksi'!F:F))</f>
        <v/>
      </c>
      <c r="F1753" s="54" t="str">
        <f t="shared" si="81"/>
        <v/>
      </c>
      <c r="G1753" s="54" t="str">
        <f t="shared" si="82"/>
        <v/>
      </c>
      <c r="H1753" s="54" t="str">
        <f t="shared" si="83"/>
        <v/>
      </c>
    </row>
    <row r="1754" spans="5:8" x14ac:dyDescent="0.25">
      <c r="E1754" s="54" t="str">
        <f>IF(A1754="","",SUMIF('Daftar Transaksi'!D:D,A1754,'Daftar Transaksi'!F:F))</f>
        <v/>
      </c>
      <c r="F1754" s="54" t="str">
        <f t="shared" si="81"/>
        <v/>
      </c>
      <c r="G1754" s="54" t="str">
        <f t="shared" si="82"/>
        <v/>
      </c>
      <c r="H1754" s="54" t="str">
        <f t="shared" si="83"/>
        <v/>
      </c>
    </row>
    <row r="1755" spans="5:8" x14ac:dyDescent="0.25">
      <c r="E1755" s="54" t="str">
        <f>IF(A1755="","",SUMIF('Daftar Transaksi'!D:D,A1755,'Daftar Transaksi'!F:F))</f>
        <v/>
      </c>
      <c r="F1755" s="54" t="str">
        <f t="shared" si="81"/>
        <v/>
      </c>
      <c r="G1755" s="54" t="str">
        <f t="shared" si="82"/>
        <v/>
      </c>
      <c r="H1755" s="54" t="str">
        <f t="shared" si="83"/>
        <v/>
      </c>
    </row>
    <row r="1756" spans="5:8" x14ac:dyDescent="0.25">
      <c r="E1756" s="54" t="str">
        <f>IF(A1756="","",SUMIF('Daftar Transaksi'!D:D,A1756,'Daftar Transaksi'!F:F))</f>
        <v/>
      </c>
      <c r="F1756" s="54" t="str">
        <f t="shared" si="81"/>
        <v/>
      </c>
      <c r="G1756" s="54" t="str">
        <f t="shared" si="82"/>
        <v/>
      </c>
      <c r="H1756" s="54" t="str">
        <f t="shared" si="83"/>
        <v/>
      </c>
    </row>
    <row r="1757" spans="5:8" x14ac:dyDescent="0.25">
      <c r="E1757" s="54" t="str">
        <f>IF(A1757="","",SUMIF('Daftar Transaksi'!D:D,A1757,'Daftar Transaksi'!F:F))</f>
        <v/>
      </c>
      <c r="F1757" s="54" t="str">
        <f t="shared" si="81"/>
        <v/>
      </c>
      <c r="G1757" s="54" t="str">
        <f t="shared" si="82"/>
        <v/>
      </c>
      <c r="H1757" s="54" t="str">
        <f t="shared" si="83"/>
        <v/>
      </c>
    </row>
    <row r="1758" spans="5:8" x14ac:dyDescent="0.25">
      <c r="E1758" s="54" t="str">
        <f>IF(A1758="","",SUMIF('Daftar Transaksi'!D:D,A1758,'Daftar Transaksi'!F:F))</f>
        <v/>
      </c>
      <c r="F1758" s="54" t="str">
        <f t="shared" si="81"/>
        <v/>
      </c>
      <c r="G1758" s="54" t="str">
        <f t="shared" si="82"/>
        <v/>
      </c>
      <c r="H1758" s="54" t="str">
        <f t="shared" si="83"/>
        <v/>
      </c>
    </row>
    <row r="1759" spans="5:8" x14ac:dyDescent="0.25">
      <c r="E1759" s="54" t="str">
        <f>IF(A1759="","",SUMIF('Daftar Transaksi'!D:D,A1759,'Daftar Transaksi'!F:F))</f>
        <v/>
      </c>
      <c r="F1759" s="54" t="str">
        <f t="shared" si="81"/>
        <v/>
      </c>
      <c r="G1759" s="54" t="str">
        <f t="shared" si="82"/>
        <v/>
      </c>
      <c r="H1759" s="54" t="str">
        <f t="shared" si="83"/>
        <v/>
      </c>
    </row>
    <row r="1760" spans="5:8" x14ac:dyDescent="0.25">
      <c r="E1760" s="54" t="str">
        <f>IF(A1760="","",SUMIF('Daftar Transaksi'!D:D,A1760,'Daftar Transaksi'!F:F))</f>
        <v/>
      </c>
      <c r="F1760" s="54" t="str">
        <f t="shared" si="81"/>
        <v/>
      </c>
      <c r="G1760" s="54" t="str">
        <f t="shared" si="82"/>
        <v/>
      </c>
      <c r="H1760" s="54" t="str">
        <f t="shared" si="83"/>
        <v/>
      </c>
    </row>
    <row r="1761" spans="5:8" x14ac:dyDescent="0.25">
      <c r="E1761" s="54" t="str">
        <f>IF(A1761="","",SUMIF('Daftar Transaksi'!D:D,A1761,'Daftar Transaksi'!F:F))</f>
        <v/>
      </c>
      <c r="F1761" s="54" t="str">
        <f t="shared" si="81"/>
        <v/>
      </c>
      <c r="G1761" s="54" t="str">
        <f t="shared" si="82"/>
        <v/>
      </c>
      <c r="H1761" s="54" t="str">
        <f t="shared" si="83"/>
        <v/>
      </c>
    </row>
    <row r="1762" spans="5:8" x14ac:dyDescent="0.25">
      <c r="E1762" s="54" t="str">
        <f>IF(A1762="","",SUMIF('Daftar Transaksi'!D:D,A1762,'Daftar Transaksi'!F:F))</f>
        <v/>
      </c>
      <c r="F1762" s="54" t="str">
        <f t="shared" si="81"/>
        <v/>
      </c>
      <c r="G1762" s="54" t="str">
        <f t="shared" si="82"/>
        <v/>
      </c>
      <c r="H1762" s="54" t="str">
        <f t="shared" si="83"/>
        <v/>
      </c>
    </row>
    <row r="1763" spans="5:8" x14ac:dyDescent="0.25">
      <c r="E1763" s="54" t="str">
        <f>IF(A1763="","",SUMIF('Daftar Transaksi'!D:D,A1763,'Daftar Transaksi'!F:F))</f>
        <v/>
      </c>
      <c r="F1763" s="54" t="str">
        <f t="shared" si="81"/>
        <v/>
      </c>
      <c r="G1763" s="54" t="str">
        <f t="shared" si="82"/>
        <v/>
      </c>
      <c r="H1763" s="54" t="str">
        <f t="shared" si="83"/>
        <v/>
      </c>
    </row>
    <row r="1764" spans="5:8" x14ac:dyDescent="0.25">
      <c r="E1764" s="54" t="str">
        <f>IF(A1764="","",SUMIF('Daftar Transaksi'!D:D,A1764,'Daftar Transaksi'!F:F))</f>
        <v/>
      </c>
      <c r="F1764" s="54" t="str">
        <f t="shared" si="81"/>
        <v/>
      </c>
      <c r="G1764" s="54" t="str">
        <f t="shared" si="82"/>
        <v/>
      </c>
      <c r="H1764" s="54" t="str">
        <f t="shared" si="83"/>
        <v/>
      </c>
    </row>
    <row r="1765" spans="5:8" x14ac:dyDescent="0.25">
      <c r="E1765" s="54" t="str">
        <f>IF(A1765="","",SUMIF('Daftar Transaksi'!D:D,A1765,'Daftar Transaksi'!F:F))</f>
        <v/>
      </c>
      <c r="F1765" s="54" t="str">
        <f t="shared" si="81"/>
        <v/>
      </c>
      <c r="G1765" s="54" t="str">
        <f t="shared" si="82"/>
        <v/>
      </c>
      <c r="H1765" s="54" t="str">
        <f t="shared" si="83"/>
        <v/>
      </c>
    </row>
    <row r="1766" spans="5:8" x14ac:dyDescent="0.25">
      <c r="E1766" s="54" t="str">
        <f>IF(A1766="","",SUMIF('Daftar Transaksi'!D:D,A1766,'Daftar Transaksi'!F:F))</f>
        <v/>
      </c>
      <c r="F1766" s="54" t="str">
        <f t="shared" si="81"/>
        <v/>
      </c>
      <c r="G1766" s="54" t="str">
        <f t="shared" si="82"/>
        <v/>
      </c>
      <c r="H1766" s="54" t="str">
        <f t="shared" si="83"/>
        <v/>
      </c>
    </row>
    <row r="1767" spans="5:8" x14ac:dyDescent="0.25">
      <c r="E1767" s="54" t="str">
        <f>IF(A1767="","",SUMIF('Daftar Transaksi'!D:D,A1767,'Daftar Transaksi'!F:F))</f>
        <v/>
      </c>
      <c r="F1767" s="54" t="str">
        <f t="shared" si="81"/>
        <v/>
      </c>
      <c r="G1767" s="54" t="str">
        <f t="shared" si="82"/>
        <v/>
      </c>
      <c r="H1767" s="54" t="str">
        <f t="shared" si="83"/>
        <v/>
      </c>
    </row>
    <row r="1768" spans="5:8" x14ac:dyDescent="0.25">
      <c r="E1768" s="54" t="str">
        <f>IF(A1768="","",SUMIF('Daftar Transaksi'!D:D,A1768,'Daftar Transaksi'!F:F))</f>
        <v/>
      </c>
      <c r="F1768" s="54" t="str">
        <f t="shared" si="81"/>
        <v/>
      </c>
      <c r="G1768" s="54" t="str">
        <f t="shared" si="82"/>
        <v/>
      </c>
      <c r="H1768" s="54" t="str">
        <f t="shared" si="83"/>
        <v/>
      </c>
    </row>
    <row r="1769" spans="5:8" x14ac:dyDescent="0.25">
      <c r="E1769" s="54" t="str">
        <f>IF(A1769="","",SUMIF('Daftar Transaksi'!D:D,A1769,'Daftar Transaksi'!F:F))</f>
        <v/>
      </c>
      <c r="F1769" s="54" t="str">
        <f t="shared" si="81"/>
        <v/>
      </c>
      <c r="G1769" s="54" t="str">
        <f t="shared" si="82"/>
        <v/>
      </c>
      <c r="H1769" s="54" t="str">
        <f t="shared" si="83"/>
        <v/>
      </c>
    </row>
    <row r="1770" spans="5:8" x14ac:dyDescent="0.25">
      <c r="E1770" s="54" t="str">
        <f>IF(A1770="","",SUMIF('Daftar Transaksi'!D:D,A1770,'Daftar Transaksi'!F:F))</f>
        <v/>
      </c>
      <c r="F1770" s="54" t="str">
        <f t="shared" si="81"/>
        <v/>
      </c>
      <c r="G1770" s="54" t="str">
        <f t="shared" si="82"/>
        <v/>
      </c>
      <c r="H1770" s="54" t="str">
        <f t="shared" si="83"/>
        <v/>
      </c>
    </row>
    <row r="1771" spans="5:8" x14ac:dyDescent="0.25">
      <c r="E1771" s="54" t="str">
        <f>IF(A1771="","",SUMIF('Daftar Transaksi'!D:D,A1771,'Daftar Transaksi'!F:F))</f>
        <v/>
      </c>
      <c r="F1771" s="54" t="str">
        <f t="shared" si="81"/>
        <v/>
      </c>
      <c r="G1771" s="54" t="str">
        <f t="shared" si="82"/>
        <v/>
      </c>
      <c r="H1771" s="54" t="str">
        <f t="shared" si="83"/>
        <v/>
      </c>
    </row>
    <row r="1772" spans="5:8" x14ac:dyDescent="0.25">
      <c r="E1772" s="54" t="str">
        <f>IF(A1772="","",SUMIF('Daftar Transaksi'!D:D,A1772,'Daftar Transaksi'!F:F))</f>
        <v/>
      </c>
      <c r="F1772" s="54" t="str">
        <f t="shared" si="81"/>
        <v/>
      </c>
      <c r="G1772" s="54" t="str">
        <f t="shared" si="82"/>
        <v/>
      </c>
      <c r="H1772" s="54" t="str">
        <f t="shared" si="83"/>
        <v/>
      </c>
    </row>
    <row r="1773" spans="5:8" x14ac:dyDescent="0.25">
      <c r="E1773" s="54" t="str">
        <f>IF(A1773="","",SUMIF('Daftar Transaksi'!D:D,A1773,'Daftar Transaksi'!F:F))</f>
        <v/>
      </c>
      <c r="F1773" s="54" t="str">
        <f t="shared" si="81"/>
        <v/>
      </c>
      <c r="G1773" s="54" t="str">
        <f t="shared" si="82"/>
        <v/>
      </c>
      <c r="H1773" s="54" t="str">
        <f t="shared" si="83"/>
        <v/>
      </c>
    </row>
    <row r="1774" spans="5:8" x14ac:dyDescent="0.25">
      <c r="E1774" s="54" t="str">
        <f>IF(A1774="","",SUMIF('Daftar Transaksi'!D:D,A1774,'Daftar Transaksi'!F:F))</f>
        <v/>
      </c>
      <c r="F1774" s="54" t="str">
        <f t="shared" si="81"/>
        <v/>
      </c>
      <c r="G1774" s="54" t="str">
        <f t="shared" si="82"/>
        <v/>
      </c>
      <c r="H1774" s="54" t="str">
        <f t="shared" si="83"/>
        <v/>
      </c>
    </row>
    <row r="1775" spans="5:8" x14ac:dyDescent="0.25">
      <c r="E1775" s="54" t="str">
        <f>IF(A1775="","",SUMIF('Daftar Transaksi'!D:D,A1775,'Daftar Transaksi'!F:F))</f>
        <v/>
      </c>
      <c r="F1775" s="54" t="str">
        <f t="shared" si="81"/>
        <v/>
      </c>
      <c r="G1775" s="54" t="str">
        <f t="shared" si="82"/>
        <v/>
      </c>
      <c r="H1775" s="54" t="str">
        <f t="shared" si="83"/>
        <v/>
      </c>
    </row>
    <row r="1776" spans="5:8" x14ac:dyDescent="0.25">
      <c r="E1776" s="54" t="str">
        <f>IF(A1776="","",SUMIF('Daftar Transaksi'!D:D,A1776,'Daftar Transaksi'!F:F))</f>
        <v/>
      </c>
      <c r="F1776" s="54" t="str">
        <f t="shared" si="81"/>
        <v/>
      </c>
      <c r="G1776" s="54" t="str">
        <f t="shared" si="82"/>
        <v/>
      </c>
      <c r="H1776" s="54" t="str">
        <f t="shared" si="83"/>
        <v/>
      </c>
    </row>
    <row r="1777" spans="5:8" x14ac:dyDescent="0.25">
      <c r="E1777" s="54" t="str">
        <f>IF(A1777="","",SUMIF('Daftar Transaksi'!D:D,A1777,'Daftar Transaksi'!F:F))</f>
        <v/>
      </c>
      <c r="F1777" s="54" t="str">
        <f t="shared" si="81"/>
        <v/>
      </c>
      <c r="G1777" s="54" t="str">
        <f t="shared" si="82"/>
        <v/>
      </c>
      <c r="H1777" s="54" t="str">
        <f t="shared" si="83"/>
        <v/>
      </c>
    </row>
    <row r="1778" spans="5:8" x14ac:dyDescent="0.25">
      <c r="E1778" s="54" t="str">
        <f>IF(A1778="","",SUMIF('Daftar Transaksi'!D:D,A1778,'Daftar Transaksi'!F:F))</f>
        <v/>
      </c>
      <c r="F1778" s="54" t="str">
        <f t="shared" si="81"/>
        <v/>
      </c>
      <c r="G1778" s="54" t="str">
        <f t="shared" si="82"/>
        <v/>
      </c>
      <c r="H1778" s="54" t="str">
        <f t="shared" si="83"/>
        <v/>
      </c>
    </row>
    <row r="1779" spans="5:8" x14ac:dyDescent="0.25">
      <c r="E1779" s="54" t="str">
        <f>IF(A1779="","",SUMIF('Daftar Transaksi'!D:D,A1779,'Daftar Transaksi'!F:F))</f>
        <v/>
      </c>
      <c r="F1779" s="54" t="str">
        <f t="shared" si="81"/>
        <v/>
      </c>
      <c r="G1779" s="54" t="str">
        <f t="shared" si="82"/>
        <v/>
      </c>
      <c r="H1779" s="54" t="str">
        <f t="shared" si="83"/>
        <v/>
      </c>
    </row>
    <row r="1780" spans="5:8" x14ac:dyDescent="0.25">
      <c r="E1780" s="54" t="str">
        <f>IF(A1780="","",SUMIF('Daftar Transaksi'!D:D,A1780,'Daftar Transaksi'!F:F))</f>
        <v/>
      </c>
      <c r="F1780" s="54" t="str">
        <f t="shared" si="81"/>
        <v/>
      </c>
      <c r="G1780" s="54" t="str">
        <f t="shared" si="82"/>
        <v/>
      </c>
      <c r="H1780" s="54" t="str">
        <f t="shared" si="83"/>
        <v/>
      </c>
    </row>
    <row r="1781" spans="5:8" x14ac:dyDescent="0.25">
      <c r="E1781" s="54" t="str">
        <f>IF(A1781="","",SUMIF('Daftar Transaksi'!D:D,A1781,'Daftar Transaksi'!F:F))</f>
        <v/>
      </c>
      <c r="F1781" s="54" t="str">
        <f t="shared" si="81"/>
        <v/>
      </c>
      <c r="G1781" s="54" t="str">
        <f t="shared" si="82"/>
        <v/>
      </c>
      <c r="H1781" s="54" t="str">
        <f t="shared" si="83"/>
        <v/>
      </c>
    </row>
    <row r="1782" spans="5:8" x14ac:dyDescent="0.25">
      <c r="E1782" s="54" t="str">
        <f>IF(A1782="","",SUMIF('Daftar Transaksi'!D:D,A1782,'Daftar Transaksi'!F:F))</f>
        <v/>
      </c>
      <c r="F1782" s="54" t="str">
        <f t="shared" si="81"/>
        <v/>
      </c>
      <c r="G1782" s="54" t="str">
        <f t="shared" si="82"/>
        <v/>
      </c>
      <c r="H1782" s="54" t="str">
        <f t="shared" si="83"/>
        <v/>
      </c>
    </row>
    <row r="1783" spans="5:8" x14ac:dyDescent="0.25">
      <c r="E1783" s="54" t="str">
        <f>IF(A1783="","",SUMIF('Daftar Transaksi'!D:D,A1783,'Daftar Transaksi'!F:F))</f>
        <v/>
      </c>
      <c r="F1783" s="54" t="str">
        <f t="shared" si="81"/>
        <v/>
      </c>
      <c r="G1783" s="54" t="str">
        <f t="shared" si="82"/>
        <v/>
      </c>
      <c r="H1783" s="54" t="str">
        <f t="shared" si="83"/>
        <v/>
      </c>
    </row>
    <row r="1784" spans="5:8" x14ac:dyDescent="0.25">
      <c r="E1784" s="54" t="str">
        <f>IF(A1784="","",SUMIF('Daftar Transaksi'!D:D,A1784,'Daftar Transaksi'!F:F))</f>
        <v/>
      </c>
      <c r="F1784" s="54" t="str">
        <f t="shared" si="81"/>
        <v/>
      </c>
      <c r="G1784" s="54" t="str">
        <f t="shared" si="82"/>
        <v/>
      </c>
      <c r="H1784" s="54" t="str">
        <f t="shared" si="83"/>
        <v/>
      </c>
    </row>
    <row r="1785" spans="5:8" x14ac:dyDescent="0.25">
      <c r="E1785" s="54" t="str">
        <f>IF(A1785="","",SUMIF('Daftar Transaksi'!D:D,A1785,'Daftar Transaksi'!F:F))</f>
        <v/>
      </c>
      <c r="F1785" s="54" t="str">
        <f t="shared" si="81"/>
        <v/>
      </c>
      <c r="G1785" s="54" t="str">
        <f t="shared" si="82"/>
        <v/>
      </c>
      <c r="H1785" s="54" t="str">
        <f t="shared" si="83"/>
        <v/>
      </c>
    </row>
    <row r="1786" spans="5:8" x14ac:dyDescent="0.25">
      <c r="E1786" s="54" t="str">
        <f>IF(A1786="","",SUMIF('Daftar Transaksi'!D:D,A1786,'Daftar Transaksi'!F:F))</f>
        <v/>
      </c>
      <c r="F1786" s="54" t="str">
        <f t="shared" si="81"/>
        <v/>
      </c>
      <c r="G1786" s="54" t="str">
        <f t="shared" si="82"/>
        <v/>
      </c>
      <c r="H1786" s="54" t="str">
        <f t="shared" si="83"/>
        <v/>
      </c>
    </row>
    <row r="1787" spans="5:8" x14ac:dyDescent="0.25">
      <c r="E1787" s="54" t="str">
        <f>IF(A1787="","",SUMIF('Daftar Transaksi'!D:D,A1787,'Daftar Transaksi'!F:F))</f>
        <v/>
      </c>
      <c r="F1787" s="54" t="str">
        <f t="shared" si="81"/>
        <v/>
      </c>
      <c r="G1787" s="54" t="str">
        <f t="shared" si="82"/>
        <v/>
      </c>
      <c r="H1787" s="54" t="str">
        <f t="shared" si="83"/>
        <v/>
      </c>
    </row>
    <row r="1788" spans="5:8" x14ac:dyDescent="0.25">
      <c r="E1788" s="54" t="str">
        <f>IF(A1788="","",SUMIF('Daftar Transaksi'!D:D,A1788,'Daftar Transaksi'!F:F))</f>
        <v/>
      </c>
      <c r="F1788" s="54" t="str">
        <f t="shared" si="81"/>
        <v/>
      </c>
      <c r="G1788" s="54" t="str">
        <f t="shared" si="82"/>
        <v/>
      </c>
      <c r="H1788" s="54" t="str">
        <f t="shared" si="83"/>
        <v/>
      </c>
    </row>
    <row r="1789" spans="5:8" x14ac:dyDescent="0.25">
      <c r="E1789" s="54" t="str">
        <f>IF(A1789="","",SUMIF('Daftar Transaksi'!D:D,A1789,'Daftar Transaksi'!F:F))</f>
        <v/>
      </c>
      <c r="F1789" s="54" t="str">
        <f t="shared" si="81"/>
        <v/>
      </c>
      <c r="G1789" s="54" t="str">
        <f t="shared" si="82"/>
        <v/>
      </c>
      <c r="H1789" s="54" t="str">
        <f t="shared" si="83"/>
        <v/>
      </c>
    </row>
    <row r="1790" spans="5:8" x14ac:dyDescent="0.25">
      <c r="E1790" s="54" t="str">
        <f>IF(A1790="","",SUMIF('Daftar Transaksi'!D:D,A1790,'Daftar Transaksi'!F:F))</f>
        <v/>
      </c>
      <c r="F1790" s="54" t="str">
        <f t="shared" si="81"/>
        <v/>
      </c>
      <c r="G1790" s="54" t="str">
        <f t="shared" si="82"/>
        <v/>
      </c>
      <c r="H1790" s="54" t="str">
        <f t="shared" si="83"/>
        <v/>
      </c>
    </row>
    <row r="1791" spans="5:8" x14ac:dyDescent="0.25">
      <c r="E1791" s="54" t="str">
        <f>IF(A1791="","",SUMIF('Daftar Transaksi'!D:D,A1791,'Daftar Transaksi'!F:F))</f>
        <v/>
      </c>
      <c r="F1791" s="54" t="str">
        <f t="shared" ref="F1791:F1854" si="84">IF(A1791="","",D1791-E1791)</f>
        <v/>
      </c>
      <c r="G1791" s="54" t="str">
        <f t="shared" ref="G1791:G1854" si="85">IF(A1791="","",C1791*E1791)</f>
        <v/>
      </c>
      <c r="H1791" s="54" t="str">
        <f t="shared" ref="H1791:H1854" si="86">IF(A1791="","",G1791-(B1791*E1791))</f>
        <v/>
      </c>
    </row>
    <row r="1792" spans="5:8" x14ac:dyDescent="0.25">
      <c r="E1792" s="54" t="str">
        <f>IF(A1792="","",SUMIF('Daftar Transaksi'!D:D,A1792,'Daftar Transaksi'!F:F))</f>
        <v/>
      </c>
      <c r="F1792" s="54" t="str">
        <f t="shared" si="84"/>
        <v/>
      </c>
      <c r="G1792" s="54" t="str">
        <f t="shared" si="85"/>
        <v/>
      </c>
      <c r="H1792" s="54" t="str">
        <f t="shared" si="86"/>
        <v/>
      </c>
    </row>
    <row r="1793" spans="5:8" x14ac:dyDescent="0.25">
      <c r="E1793" s="54" t="str">
        <f>IF(A1793="","",SUMIF('Daftar Transaksi'!D:D,A1793,'Daftar Transaksi'!F:F))</f>
        <v/>
      </c>
      <c r="F1793" s="54" t="str">
        <f t="shared" si="84"/>
        <v/>
      </c>
      <c r="G1793" s="54" t="str">
        <f t="shared" si="85"/>
        <v/>
      </c>
      <c r="H1793" s="54" t="str">
        <f t="shared" si="86"/>
        <v/>
      </c>
    </row>
    <row r="1794" spans="5:8" x14ac:dyDescent="0.25">
      <c r="E1794" s="54" t="str">
        <f>IF(A1794="","",SUMIF('Daftar Transaksi'!D:D,A1794,'Daftar Transaksi'!F:F))</f>
        <v/>
      </c>
      <c r="F1794" s="54" t="str">
        <f t="shared" si="84"/>
        <v/>
      </c>
      <c r="G1794" s="54" t="str">
        <f t="shared" si="85"/>
        <v/>
      </c>
      <c r="H1794" s="54" t="str">
        <f t="shared" si="86"/>
        <v/>
      </c>
    </row>
    <row r="1795" spans="5:8" x14ac:dyDescent="0.25">
      <c r="E1795" s="54" t="str">
        <f>IF(A1795="","",SUMIF('Daftar Transaksi'!D:D,A1795,'Daftar Transaksi'!F:F))</f>
        <v/>
      </c>
      <c r="F1795" s="54" t="str">
        <f t="shared" si="84"/>
        <v/>
      </c>
      <c r="G1795" s="54" t="str">
        <f t="shared" si="85"/>
        <v/>
      </c>
      <c r="H1795" s="54" t="str">
        <f t="shared" si="86"/>
        <v/>
      </c>
    </row>
    <row r="1796" spans="5:8" x14ac:dyDescent="0.25">
      <c r="E1796" s="54" t="str">
        <f>IF(A1796="","",SUMIF('Daftar Transaksi'!D:D,A1796,'Daftar Transaksi'!F:F))</f>
        <v/>
      </c>
      <c r="F1796" s="54" t="str">
        <f t="shared" si="84"/>
        <v/>
      </c>
      <c r="G1796" s="54" t="str">
        <f t="shared" si="85"/>
        <v/>
      </c>
      <c r="H1796" s="54" t="str">
        <f t="shared" si="86"/>
        <v/>
      </c>
    </row>
    <row r="1797" spans="5:8" x14ac:dyDescent="0.25">
      <c r="E1797" s="54" t="str">
        <f>IF(A1797="","",SUMIF('Daftar Transaksi'!D:D,A1797,'Daftar Transaksi'!F:F))</f>
        <v/>
      </c>
      <c r="F1797" s="54" t="str">
        <f t="shared" si="84"/>
        <v/>
      </c>
      <c r="G1797" s="54" t="str">
        <f t="shared" si="85"/>
        <v/>
      </c>
      <c r="H1797" s="54" t="str">
        <f t="shared" si="86"/>
        <v/>
      </c>
    </row>
    <row r="1798" spans="5:8" x14ac:dyDescent="0.25">
      <c r="E1798" s="54" t="str">
        <f>IF(A1798="","",SUMIF('Daftar Transaksi'!D:D,A1798,'Daftar Transaksi'!F:F))</f>
        <v/>
      </c>
      <c r="F1798" s="54" t="str">
        <f t="shared" si="84"/>
        <v/>
      </c>
      <c r="G1798" s="54" t="str">
        <f t="shared" si="85"/>
        <v/>
      </c>
      <c r="H1798" s="54" t="str">
        <f t="shared" si="86"/>
        <v/>
      </c>
    </row>
    <row r="1799" spans="5:8" x14ac:dyDescent="0.25">
      <c r="E1799" s="54" t="str">
        <f>IF(A1799="","",SUMIF('Daftar Transaksi'!D:D,A1799,'Daftar Transaksi'!F:F))</f>
        <v/>
      </c>
      <c r="F1799" s="54" t="str">
        <f t="shared" si="84"/>
        <v/>
      </c>
      <c r="G1799" s="54" t="str">
        <f t="shared" si="85"/>
        <v/>
      </c>
      <c r="H1799" s="54" t="str">
        <f t="shared" si="86"/>
        <v/>
      </c>
    </row>
    <row r="1800" spans="5:8" x14ac:dyDescent="0.25">
      <c r="E1800" s="54" t="str">
        <f>IF(A1800="","",SUMIF('Daftar Transaksi'!D:D,A1800,'Daftar Transaksi'!F:F))</f>
        <v/>
      </c>
      <c r="F1800" s="54" t="str">
        <f t="shared" si="84"/>
        <v/>
      </c>
      <c r="G1800" s="54" t="str">
        <f t="shared" si="85"/>
        <v/>
      </c>
      <c r="H1800" s="54" t="str">
        <f t="shared" si="86"/>
        <v/>
      </c>
    </row>
    <row r="1801" spans="5:8" x14ac:dyDescent="0.25">
      <c r="E1801" s="54" t="str">
        <f>IF(A1801="","",SUMIF('Daftar Transaksi'!D:D,A1801,'Daftar Transaksi'!F:F))</f>
        <v/>
      </c>
      <c r="F1801" s="54" t="str">
        <f t="shared" si="84"/>
        <v/>
      </c>
      <c r="G1801" s="54" t="str">
        <f t="shared" si="85"/>
        <v/>
      </c>
      <c r="H1801" s="54" t="str">
        <f t="shared" si="86"/>
        <v/>
      </c>
    </row>
    <row r="1802" spans="5:8" x14ac:dyDescent="0.25">
      <c r="E1802" s="54" t="str">
        <f>IF(A1802="","",SUMIF('Daftar Transaksi'!D:D,A1802,'Daftar Transaksi'!F:F))</f>
        <v/>
      </c>
      <c r="F1802" s="54" t="str">
        <f t="shared" si="84"/>
        <v/>
      </c>
      <c r="G1802" s="54" t="str">
        <f t="shared" si="85"/>
        <v/>
      </c>
      <c r="H1802" s="54" t="str">
        <f t="shared" si="86"/>
        <v/>
      </c>
    </row>
    <row r="1803" spans="5:8" x14ac:dyDescent="0.25">
      <c r="E1803" s="54" t="str">
        <f>IF(A1803="","",SUMIF('Daftar Transaksi'!D:D,A1803,'Daftar Transaksi'!F:F))</f>
        <v/>
      </c>
      <c r="F1803" s="54" t="str">
        <f t="shared" si="84"/>
        <v/>
      </c>
      <c r="G1803" s="54" t="str">
        <f t="shared" si="85"/>
        <v/>
      </c>
      <c r="H1803" s="54" t="str">
        <f t="shared" si="86"/>
        <v/>
      </c>
    </row>
    <row r="1804" spans="5:8" x14ac:dyDescent="0.25">
      <c r="E1804" s="54" t="str">
        <f>IF(A1804="","",SUMIF('Daftar Transaksi'!D:D,A1804,'Daftar Transaksi'!F:F))</f>
        <v/>
      </c>
      <c r="F1804" s="54" t="str">
        <f t="shared" si="84"/>
        <v/>
      </c>
      <c r="G1804" s="54" t="str">
        <f t="shared" si="85"/>
        <v/>
      </c>
      <c r="H1804" s="54" t="str">
        <f t="shared" si="86"/>
        <v/>
      </c>
    </row>
    <row r="1805" spans="5:8" x14ac:dyDescent="0.25">
      <c r="E1805" s="54" t="str">
        <f>IF(A1805="","",SUMIF('Daftar Transaksi'!D:D,A1805,'Daftar Transaksi'!F:F))</f>
        <v/>
      </c>
      <c r="F1805" s="54" t="str">
        <f t="shared" si="84"/>
        <v/>
      </c>
      <c r="G1805" s="54" t="str">
        <f t="shared" si="85"/>
        <v/>
      </c>
      <c r="H1805" s="54" t="str">
        <f t="shared" si="86"/>
        <v/>
      </c>
    </row>
    <row r="1806" spans="5:8" x14ac:dyDescent="0.25">
      <c r="E1806" s="54" t="str">
        <f>IF(A1806="","",SUMIF('Daftar Transaksi'!D:D,A1806,'Daftar Transaksi'!F:F))</f>
        <v/>
      </c>
      <c r="F1806" s="54" t="str">
        <f t="shared" si="84"/>
        <v/>
      </c>
      <c r="G1806" s="54" t="str">
        <f t="shared" si="85"/>
        <v/>
      </c>
      <c r="H1806" s="54" t="str">
        <f t="shared" si="86"/>
        <v/>
      </c>
    </row>
    <row r="1807" spans="5:8" x14ac:dyDescent="0.25">
      <c r="E1807" s="54" t="str">
        <f>IF(A1807="","",SUMIF('Daftar Transaksi'!D:D,A1807,'Daftar Transaksi'!F:F))</f>
        <v/>
      </c>
      <c r="F1807" s="54" t="str">
        <f t="shared" si="84"/>
        <v/>
      </c>
      <c r="G1807" s="54" t="str">
        <f t="shared" si="85"/>
        <v/>
      </c>
      <c r="H1807" s="54" t="str">
        <f t="shared" si="86"/>
        <v/>
      </c>
    </row>
    <row r="1808" spans="5:8" x14ac:dyDescent="0.25">
      <c r="E1808" s="54" t="str">
        <f>IF(A1808="","",SUMIF('Daftar Transaksi'!D:D,A1808,'Daftar Transaksi'!F:F))</f>
        <v/>
      </c>
      <c r="F1808" s="54" t="str">
        <f t="shared" si="84"/>
        <v/>
      </c>
      <c r="G1808" s="54" t="str">
        <f t="shared" si="85"/>
        <v/>
      </c>
      <c r="H1808" s="54" t="str">
        <f t="shared" si="86"/>
        <v/>
      </c>
    </row>
    <row r="1809" spans="5:8" x14ac:dyDescent="0.25">
      <c r="E1809" s="54" t="str">
        <f>IF(A1809="","",SUMIF('Daftar Transaksi'!D:D,A1809,'Daftar Transaksi'!F:F))</f>
        <v/>
      </c>
      <c r="F1809" s="54" t="str">
        <f t="shared" si="84"/>
        <v/>
      </c>
      <c r="G1809" s="54" t="str">
        <f t="shared" si="85"/>
        <v/>
      </c>
      <c r="H1809" s="54" t="str">
        <f t="shared" si="86"/>
        <v/>
      </c>
    </row>
    <row r="1810" spans="5:8" x14ac:dyDescent="0.25">
      <c r="E1810" s="54" t="str">
        <f>IF(A1810="","",SUMIF('Daftar Transaksi'!D:D,A1810,'Daftar Transaksi'!F:F))</f>
        <v/>
      </c>
      <c r="F1810" s="54" t="str">
        <f t="shared" si="84"/>
        <v/>
      </c>
      <c r="G1810" s="54" t="str">
        <f t="shared" si="85"/>
        <v/>
      </c>
      <c r="H1810" s="54" t="str">
        <f t="shared" si="86"/>
        <v/>
      </c>
    </row>
    <row r="1811" spans="5:8" x14ac:dyDescent="0.25">
      <c r="E1811" s="54" t="str">
        <f>IF(A1811="","",SUMIF('Daftar Transaksi'!D:D,A1811,'Daftar Transaksi'!F:F))</f>
        <v/>
      </c>
      <c r="F1811" s="54" t="str">
        <f t="shared" si="84"/>
        <v/>
      </c>
      <c r="G1811" s="54" t="str">
        <f t="shared" si="85"/>
        <v/>
      </c>
      <c r="H1811" s="54" t="str">
        <f t="shared" si="86"/>
        <v/>
      </c>
    </row>
    <row r="1812" spans="5:8" x14ac:dyDescent="0.25">
      <c r="E1812" s="54" t="str">
        <f>IF(A1812="","",SUMIF('Daftar Transaksi'!D:D,A1812,'Daftar Transaksi'!F:F))</f>
        <v/>
      </c>
      <c r="F1812" s="54" t="str">
        <f t="shared" si="84"/>
        <v/>
      </c>
      <c r="G1812" s="54" t="str">
        <f t="shared" si="85"/>
        <v/>
      </c>
      <c r="H1812" s="54" t="str">
        <f t="shared" si="86"/>
        <v/>
      </c>
    </row>
    <row r="1813" spans="5:8" x14ac:dyDescent="0.25">
      <c r="E1813" s="54" t="str">
        <f>IF(A1813="","",SUMIF('Daftar Transaksi'!D:D,A1813,'Daftar Transaksi'!F:F))</f>
        <v/>
      </c>
      <c r="F1813" s="54" t="str">
        <f t="shared" si="84"/>
        <v/>
      </c>
      <c r="G1813" s="54" t="str">
        <f t="shared" si="85"/>
        <v/>
      </c>
      <c r="H1813" s="54" t="str">
        <f t="shared" si="86"/>
        <v/>
      </c>
    </row>
    <row r="1814" spans="5:8" x14ac:dyDescent="0.25">
      <c r="E1814" s="54" t="str">
        <f>IF(A1814="","",SUMIF('Daftar Transaksi'!D:D,A1814,'Daftar Transaksi'!F:F))</f>
        <v/>
      </c>
      <c r="F1814" s="54" t="str">
        <f t="shared" si="84"/>
        <v/>
      </c>
      <c r="G1814" s="54" t="str">
        <f t="shared" si="85"/>
        <v/>
      </c>
      <c r="H1814" s="54" t="str">
        <f t="shared" si="86"/>
        <v/>
      </c>
    </row>
    <row r="1815" spans="5:8" x14ac:dyDescent="0.25">
      <c r="E1815" s="54" t="str">
        <f>IF(A1815="","",SUMIF('Daftar Transaksi'!D:D,A1815,'Daftar Transaksi'!F:F))</f>
        <v/>
      </c>
      <c r="F1815" s="54" t="str">
        <f t="shared" si="84"/>
        <v/>
      </c>
      <c r="G1815" s="54" t="str">
        <f t="shared" si="85"/>
        <v/>
      </c>
      <c r="H1815" s="54" t="str">
        <f t="shared" si="86"/>
        <v/>
      </c>
    </row>
    <row r="1816" spans="5:8" x14ac:dyDescent="0.25">
      <c r="E1816" s="54" t="str">
        <f>IF(A1816="","",SUMIF('Daftar Transaksi'!D:D,A1816,'Daftar Transaksi'!F:F))</f>
        <v/>
      </c>
      <c r="F1816" s="54" t="str">
        <f t="shared" si="84"/>
        <v/>
      </c>
      <c r="G1816" s="54" t="str">
        <f t="shared" si="85"/>
        <v/>
      </c>
      <c r="H1816" s="54" t="str">
        <f t="shared" si="86"/>
        <v/>
      </c>
    </row>
    <row r="1817" spans="5:8" x14ac:dyDescent="0.25">
      <c r="E1817" s="54" t="str">
        <f>IF(A1817="","",SUMIF('Daftar Transaksi'!D:D,A1817,'Daftar Transaksi'!F:F))</f>
        <v/>
      </c>
      <c r="F1817" s="54" t="str">
        <f t="shared" si="84"/>
        <v/>
      </c>
      <c r="G1817" s="54" t="str">
        <f t="shared" si="85"/>
        <v/>
      </c>
      <c r="H1817" s="54" t="str">
        <f t="shared" si="86"/>
        <v/>
      </c>
    </row>
    <row r="1818" spans="5:8" x14ac:dyDescent="0.25">
      <c r="E1818" s="54" t="str">
        <f>IF(A1818="","",SUMIF('Daftar Transaksi'!D:D,A1818,'Daftar Transaksi'!F:F))</f>
        <v/>
      </c>
      <c r="F1818" s="54" t="str">
        <f t="shared" si="84"/>
        <v/>
      </c>
      <c r="G1818" s="54" t="str">
        <f t="shared" si="85"/>
        <v/>
      </c>
      <c r="H1818" s="54" t="str">
        <f t="shared" si="86"/>
        <v/>
      </c>
    </row>
    <row r="1819" spans="5:8" x14ac:dyDescent="0.25">
      <c r="E1819" s="54" t="str">
        <f>IF(A1819="","",SUMIF('Daftar Transaksi'!D:D,A1819,'Daftar Transaksi'!F:F))</f>
        <v/>
      </c>
      <c r="F1819" s="54" t="str">
        <f t="shared" si="84"/>
        <v/>
      </c>
      <c r="G1819" s="54" t="str">
        <f t="shared" si="85"/>
        <v/>
      </c>
      <c r="H1819" s="54" t="str">
        <f t="shared" si="86"/>
        <v/>
      </c>
    </row>
    <row r="1820" spans="5:8" x14ac:dyDescent="0.25">
      <c r="E1820" s="54" t="str">
        <f>IF(A1820="","",SUMIF('Daftar Transaksi'!D:D,A1820,'Daftar Transaksi'!F:F))</f>
        <v/>
      </c>
      <c r="F1820" s="54" t="str">
        <f t="shared" si="84"/>
        <v/>
      </c>
      <c r="G1820" s="54" t="str">
        <f t="shared" si="85"/>
        <v/>
      </c>
      <c r="H1820" s="54" t="str">
        <f t="shared" si="86"/>
        <v/>
      </c>
    </row>
    <row r="1821" spans="5:8" x14ac:dyDescent="0.25">
      <c r="E1821" s="54" t="str">
        <f>IF(A1821="","",SUMIF('Daftar Transaksi'!D:D,A1821,'Daftar Transaksi'!F:F))</f>
        <v/>
      </c>
      <c r="F1821" s="54" t="str">
        <f t="shared" si="84"/>
        <v/>
      </c>
      <c r="G1821" s="54" t="str">
        <f t="shared" si="85"/>
        <v/>
      </c>
      <c r="H1821" s="54" t="str">
        <f t="shared" si="86"/>
        <v/>
      </c>
    </row>
    <row r="1822" spans="5:8" x14ac:dyDescent="0.25">
      <c r="E1822" s="54" t="str">
        <f>IF(A1822="","",SUMIF('Daftar Transaksi'!D:D,A1822,'Daftar Transaksi'!F:F))</f>
        <v/>
      </c>
      <c r="F1822" s="54" t="str">
        <f t="shared" si="84"/>
        <v/>
      </c>
      <c r="G1822" s="54" t="str">
        <f t="shared" si="85"/>
        <v/>
      </c>
      <c r="H1822" s="54" t="str">
        <f t="shared" si="86"/>
        <v/>
      </c>
    </row>
    <row r="1823" spans="5:8" x14ac:dyDescent="0.25">
      <c r="E1823" s="54" t="str">
        <f>IF(A1823="","",SUMIF('Daftar Transaksi'!D:D,A1823,'Daftar Transaksi'!F:F))</f>
        <v/>
      </c>
      <c r="F1823" s="54" t="str">
        <f t="shared" si="84"/>
        <v/>
      </c>
      <c r="G1823" s="54" t="str">
        <f t="shared" si="85"/>
        <v/>
      </c>
      <c r="H1823" s="54" t="str">
        <f t="shared" si="86"/>
        <v/>
      </c>
    </row>
    <row r="1824" spans="5:8" x14ac:dyDescent="0.25">
      <c r="E1824" s="54" t="str">
        <f>IF(A1824="","",SUMIF('Daftar Transaksi'!D:D,A1824,'Daftar Transaksi'!F:F))</f>
        <v/>
      </c>
      <c r="F1824" s="54" t="str">
        <f t="shared" si="84"/>
        <v/>
      </c>
      <c r="G1824" s="54" t="str">
        <f t="shared" si="85"/>
        <v/>
      </c>
      <c r="H1824" s="54" t="str">
        <f t="shared" si="86"/>
        <v/>
      </c>
    </row>
    <row r="1825" spans="5:8" x14ac:dyDescent="0.25">
      <c r="E1825" s="54" t="str">
        <f>IF(A1825="","",SUMIF('Daftar Transaksi'!D:D,A1825,'Daftar Transaksi'!F:F))</f>
        <v/>
      </c>
      <c r="F1825" s="54" t="str">
        <f t="shared" si="84"/>
        <v/>
      </c>
      <c r="G1825" s="54" t="str">
        <f t="shared" si="85"/>
        <v/>
      </c>
      <c r="H1825" s="54" t="str">
        <f t="shared" si="86"/>
        <v/>
      </c>
    </row>
    <row r="1826" spans="5:8" x14ac:dyDescent="0.25">
      <c r="E1826" s="54" t="str">
        <f>IF(A1826="","",SUMIF('Daftar Transaksi'!D:D,A1826,'Daftar Transaksi'!F:F))</f>
        <v/>
      </c>
      <c r="F1826" s="54" t="str">
        <f t="shared" si="84"/>
        <v/>
      </c>
      <c r="G1826" s="54" t="str">
        <f t="shared" si="85"/>
        <v/>
      </c>
      <c r="H1826" s="54" t="str">
        <f t="shared" si="86"/>
        <v/>
      </c>
    </row>
    <row r="1827" spans="5:8" x14ac:dyDescent="0.25">
      <c r="E1827" s="54" t="str">
        <f>IF(A1827="","",SUMIF('Daftar Transaksi'!D:D,A1827,'Daftar Transaksi'!F:F))</f>
        <v/>
      </c>
      <c r="F1827" s="54" t="str">
        <f t="shared" si="84"/>
        <v/>
      </c>
      <c r="G1827" s="54" t="str">
        <f t="shared" si="85"/>
        <v/>
      </c>
      <c r="H1827" s="54" t="str">
        <f t="shared" si="86"/>
        <v/>
      </c>
    </row>
    <row r="1828" spans="5:8" x14ac:dyDescent="0.25">
      <c r="E1828" s="54" t="str">
        <f>IF(A1828="","",SUMIF('Daftar Transaksi'!D:D,A1828,'Daftar Transaksi'!F:F))</f>
        <v/>
      </c>
      <c r="F1828" s="54" t="str">
        <f t="shared" si="84"/>
        <v/>
      </c>
      <c r="G1828" s="54" t="str">
        <f t="shared" si="85"/>
        <v/>
      </c>
      <c r="H1828" s="54" t="str">
        <f t="shared" si="86"/>
        <v/>
      </c>
    </row>
    <row r="1829" spans="5:8" x14ac:dyDescent="0.25">
      <c r="E1829" s="54" t="str">
        <f>IF(A1829="","",SUMIF('Daftar Transaksi'!D:D,A1829,'Daftar Transaksi'!F:F))</f>
        <v/>
      </c>
      <c r="F1829" s="54" t="str">
        <f t="shared" si="84"/>
        <v/>
      </c>
      <c r="G1829" s="54" t="str">
        <f t="shared" si="85"/>
        <v/>
      </c>
      <c r="H1829" s="54" t="str">
        <f t="shared" si="86"/>
        <v/>
      </c>
    </row>
    <row r="1830" spans="5:8" x14ac:dyDescent="0.25">
      <c r="E1830" s="54" t="str">
        <f>IF(A1830="","",SUMIF('Daftar Transaksi'!D:D,A1830,'Daftar Transaksi'!F:F))</f>
        <v/>
      </c>
      <c r="F1830" s="54" t="str">
        <f t="shared" si="84"/>
        <v/>
      </c>
      <c r="G1830" s="54" t="str">
        <f t="shared" si="85"/>
        <v/>
      </c>
      <c r="H1830" s="54" t="str">
        <f t="shared" si="86"/>
        <v/>
      </c>
    </row>
    <row r="1831" spans="5:8" x14ac:dyDescent="0.25">
      <c r="E1831" s="54" t="str">
        <f>IF(A1831="","",SUMIF('Daftar Transaksi'!D:D,A1831,'Daftar Transaksi'!F:F))</f>
        <v/>
      </c>
      <c r="F1831" s="54" t="str">
        <f t="shared" si="84"/>
        <v/>
      </c>
      <c r="G1831" s="54" t="str">
        <f t="shared" si="85"/>
        <v/>
      </c>
      <c r="H1831" s="54" t="str">
        <f t="shared" si="86"/>
        <v/>
      </c>
    </row>
    <row r="1832" spans="5:8" x14ac:dyDescent="0.25">
      <c r="E1832" s="54" t="str">
        <f>IF(A1832="","",SUMIF('Daftar Transaksi'!D:D,A1832,'Daftar Transaksi'!F:F))</f>
        <v/>
      </c>
      <c r="F1832" s="54" t="str">
        <f t="shared" si="84"/>
        <v/>
      </c>
      <c r="G1832" s="54" t="str">
        <f t="shared" si="85"/>
        <v/>
      </c>
      <c r="H1832" s="54" t="str">
        <f t="shared" si="86"/>
        <v/>
      </c>
    </row>
    <row r="1833" spans="5:8" x14ac:dyDescent="0.25">
      <c r="E1833" s="54" t="str">
        <f>IF(A1833="","",SUMIF('Daftar Transaksi'!D:D,A1833,'Daftar Transaksi'!F:F))</f>
        <v/>
      </c>
      <c r="F1833" s="54" t="str">
        <f t="shared" si="84"/>
        <v/>
      </c>
      <c r="G1833" s="54" t="str">
        <f t="shared" si="85"/>
        <v/>
      </c>
      <c r="H1833" s="54" t="str">
        <f t="shared" si="86"/>
        <v/>
      </c>
    </row>
    <row r="1834" spans="5:8" x14ac:dyDescent="0.25">
      <c r="E1834" s="54" t="str">
        <f>IF(A1834="","",SUMIF('Daftar Transaksi'!D:D,A1834,'Daftar Transaksi'!F:F))</f>
        <v/>
      </c>
      <c r="F1834" s="54" t="str">
        <f t="shared" si="84"/>
        <v/>
      </c>
      <c r="G1834" s="54" t="str">
        <f t="shared" si="85"/>
        <v/>
      </c>
      <c r="H1834" s="54" t="str">
        <f t="shared" si="86"/>
        <v/>
      </c>
    </row>
    <row r="1835" spans="5:8" x14ac:dyDescent="0.25">
      <c r="E1835" s="54" t="str">
        <f>IF(A1835="","",SUMIF('Daftar Transaksi'!D:D,A1835,'Daftar Transaksi'!F:F))</f>
        <v/>
      </c>
      <c r="F1835" s="54" t="str">
        <f t="shared" si="84"/>
        <v/>
      </c>
      <c r="G1835" s="54" t="str">
        <f t="shared" si="85"/>
        <v/>
      </c>
      <c r="H1835" s="54" t="str">
        <f t="shared" si="86"/>
        <v/>
      </c>
    </row>
    <row r="1836" spans="5:8" x14ac:dyDescent="0.25">
      <c r="E1836" s="54" t="str">
        <f>IF(A1836="","",SUMIF('Daftar Transaksi'!D:D,A1836,'Daftar Transaksi'!F:F))</f>
        <v/>
      </c>
      <c r="F1836" s="54" t="str">
        <f t="shared" si="84"/>
        <v/>
      </c>
      <c r="G1836" s="54" t="str">
        <f t="shared" si="85"/>
        <v/>
      </c>
      <c r="H1836" s="54" t="str">
        <f t="shared" si="86"/>
        <v/>
      </c>
    </row>
    <row r="1837" spans="5:8" x14ac:dyDescent="0.25">
      <c r="E1837" s="54" t="str">
        <f>IF(A1837="","",SUMIF('Daftar Transaksi'!D:D,A1837,'Daftar Transaksi'!F:F))</f>
        <v/>
      </c>
      <c r="F1837" s="54" t="str">
        <f t="shared" si="84"/>
        <v/>
      </c>
      <c r="G1837" s="54" t="str">
        <f t="shared" si="85"/>
        <v/>
      </c>
      <c r="H1837" s="54" t="str">
        <f t="shared" si="86"/>
        <v/>
      </c>
    </row>
    <row r="1838" spans="5:8" x14ac:dyDescent="0.25">
      <c r="E1838" s="54" t="str">
        <f>IF(A1838="","",SUMIF('Daftar Transaksi'!D:D,A1838,'Daftar Transaksi'!F:F))</f>
        <v/>
      </c>
      <c r="F1838" s="54" t="str">
        <f t="shared" si="84"/>
        <v/>
      </c>
      <c r="G1838" s="54" t="str">
        <f t="shared" si="85"/>
        <v/>
      </c>
      <c r="H1838" s="54" t="str">
        <f t="shared" si="86"/>
        <v/>
      </c>
    </row>
    <row r="1839" spans="5:8" x14ac:dyDescent="0.25">
      <c r="E1839" s="54" t="str">
        <f>IF(A1839="","",SUMIF('Daftar Transaksi'!D:D,A1839,'Daftar Transaksi'!F:F))</f>
        <v/>
      </c>
      <c r="F1839" s="54" t="str">
        <f t="shared" si="84"/>
        <v/>
      </c>
      <c r="G1839" s="54" t="str">
        <f t="shared" si="85"/>
        <v/>
      </c>
      <c r="H1839" s="54" t="str">
        <f t="shared" si="86"/>
        <v/>
      </c>
    </row>
    <row r="1840" spans="5:8" x14ac:dyDescent="0.25">
      <c r="E1840" s="54" t="str">
        <f>IF(A1840="","",SUMIF('Daftar Transaksi'!D:D,A1840,'Daftar Transaksi'!F:F))</f>
        <v/>
      </c>
      <c r="F1840" s="54" t="str">
        <f t="shared" si="84"/>
        <v/>
      </c>
      <c r="G1840" s="54" t="str">
        <f t="shared" si="85"/>
        <v/>
      </c>
      <c r="H1840" s="54" t="str">
        <f t="shared" si="86"/>
        <v/>
      </c>
    </row>
    <row r="1841" spans="5:8" x14ac:dyDescent="0.25">
      <c r="E1841" s="54" t="str">
        <f>IF(A1841="","",SUMIF('Daftar Transaksi'!D:D,A1841,'Daftar Transaksi'!F:F))</f>
        <v/>
      </c>
      <c r="F1841" s="54" t="str">
        <f t="shared" si="84"/>
        <v/>
      </c>
      <c r="G1841" s="54" t="str">
        <f t="shared" si="85"/>
        <v/>
      </c>
      <c r="H1841" s="54" t="str">
        <f t="shared" si="86"/>
        <v/>
      </c>
    </row>
    <row r="1842" spans="5:8" x14ac:dyDescent="0.25">
      <c r="E1842" s="54" t="str">
        <f>IF(A1842="","",SUMIF('Daftar Transaksi'!D:D,A1842,'Daftar Transaksi'!F:F))</f>
        <v/>
      </c>
      <c r="F1842" s="54" t="str">
        <f t="shared" si="84"/>
        <v/>
      </c>
      <c r="G1842" s="54" t="str">
        <f t="shared" si="85"/>
        <v/>
      </c>
      <c r="H1842" s="54" t="str">
        <f t="shared" si="86"/>
        <v/>
      </c>
    </row>
    <row r="1843" spans="5:8" x14ac:dyDescent="0.25">
      <c r="E1843" s="54" t="str">
        <f>IF(A1843="","",SUMIF('Daftar Transaksi'!D:D,A1843,'Daftar Transaksi'!F:F))</f>
        <v/>
      </c>
      <c r="F1843" s="54" t="str">
        <f t="shared" si="84"/>
        <v/>
      </c>
      <c r="G1843" s="54" t="str">
        <f t="shared" si="85"/>
        <v/>
      </c>
      <c r="H1843" s="54" t="str">
        <f t="shared" si="86"/>
        <v/>
      </c>
    </row>
    <row r="1844" spans="5:8" x14ac:dyDescent="0.25">
      <c r="E1844" s="54" t="str">
        <f>IF(A1844="","",SUMIF('Daftar Transaksi'!D:D,A1844,'Daftar Transaksi'!F:F))</f>
        <v/>
      </c>
      <c r="F1844" s="54" t="str">
        <f t="shared" si="84"/>
        <v/>
      </c>
      <c r="G1844" s="54" t="str">
        <f t="shared" si="85"/>
        <v/>
      </c>
      <c r="H1844" s="54" t="str">
        <f t="shared" si="86"/>
        <v/>
      </c>
    </row>
    <row r="1845" spans="5:8" x14ac:dyDescent="0.25">
      <c r="E1845" s="54" t="str">
        <f>IF(A1845="","",SUMIF('Daftar Transaksi'!D:D,A1845,'Daftar Transaksi'!F:F))</f>
        <v/>
      </c>
      <c r="F1845" s="54" t="str">
        <f t="shared" si="84"/>
        <v/>
      </c>
      <c r="G1845" s="54" t="str">
        <f t="shared" si="85"/>
        <v/>
      </c>
      <c r="H1845" s="54" t="str">
        <f t="shared" si="86"/>
        <v/>
      </c>
    </row>
    <row r="1846" spans="5:8" x14ac:dyDescent="0.25">
      <c r="E1846" s="54" t="str">
        <f>IF(A1846="","",SUMIF('Daftar Transaksi'!D:D,A1846,'Daftar Transaksi'!F:F))</f>
        <v/>
      </c>
      <c r="F1846" s="54" t="str">
        <f t="shared" si="84"/>
        <v/>
      </c>
      <c r="G1846" s="54" t="str">
        <f t="shared" si="85"/>
        <v/>
      </c>
      <c r="H1846" s="54" t="str">
        <f t="shared" si="86"/>
        <v/>
      </c>
    </row>
    <row r="1847" spans="5:8" x14ac:dyDescent="0.25">
      <c r="E1847" s="54" t="str">
        <f>IF(A1847="","",SUMIF('Daftar Transaksi'!D:D,A1847,'Daftar Transaksi'!F:F))</f>
        <v/>
      </c>
      <c r="F1847" s="54" t="str">
        <f t="shared" si="84"/>
        <v/>
      </c>
      <c r="G1847" s="54" t="str">
        <f t="shared" si="85"/>
        <v/>
      </c>
      <c r="H1847" s="54" t="str">
        <f t="shared" si="86"/>
        <v/>
      </c>
    </row>
    <row r="1848" spans="5:8" x14ac:dyDescent="0.25">
      <c r="E1848" s="54" t="str">
        <f>IF(A1848="","",SUMIF('Daftar Transaksi'!D:D,A1848,'Daftar Transaksi'!F:F))</f>
        <v/>
      </c>
      <c r="F1848" s="54" t="str">
        <f t="shared" si="84"/>
        <v/>
      </c>
      <c r="G1848" s="54" t="str">
        <f t="shared" si="85"/>
        <v/>
      </c>
      <c r="H1848" s="54" t="str">
        <f t="shared" si="86"/>
        <v/>
      </c>
    </row>
    <row r="1849" spans="5:8" x14ac:dyDescent="0.25">
      <c r="E1849" s="54" t="str">
        <f>IF(A1849="","",SUMIF('Daftar Transaksi'!D:D,A1849,'Daftar Transaksi'!F:F))</f>
        <v/>
      </c>
      <c r="F1849" s="54" t="str">
        <f t="shared" si="84"/>
        <v/>
      </c>
      <c r="G1849" s="54" t="str">
        <f t="shared" si="85"/>
        <v/>
      </c>
      <c r="H1849" s="54" t="str">
        <f t="shared" si="86"/>
        <v/>
      </c>
    </row>
    <row r="1850" spans="5:8" x14ac:dyDescent="0.25">
      <c r="E1850" s="54" t="str">
        <f>IF(A1850="","",SUMIF('Daftar Transaksi'!D:D,A1850,'Daftar Transaksi'!F:F))</f>
        <v/>
      </c>
      <c r="F1850" s="54" t="str">
        <f t="shared" si="84"/>
        <v/>
      </c>
      <c r="G1850" s="54" t="str">
        <f t="shared" si="85"/>
        <v/>
      </c>
      <c r="H1850" s="54" t="str">
        <f t="shared" si="86"/>
        <v/>
      </c>
    </row>
    <row r="1851" spans="5:8" x14ac:dyDescent="0.25">
      <c r="E1851" s="54" t="str">
        <f>IF(A1851="","",SUMIF('Daftar Transaksi'!D:D,A1851,'Daftar Transaksi'!F:F))</f>
        <v/>
      </c>
      <c r="F1851" s="54" t="str">
        <f t="shared" si="84"/>
        <v/>
      </c>
      <c r="G1851" s="54" t="str">
        <f t="shared" si="85"/>
        <v/>
      </c>
      <c r="H1851" s="54" t="str">
        <f t="shared" si="86"/>
        <v/>
      </c>
    </row>
    <row r="1852" spans="5:8" x14ac:dyDescent="0.25">
      <c r="E1852" s="54" t="str">
        <f>IF(A1852="","",SUMIF('Daftar Transaksi'!D:D,A1852,'Daftar Transaksi'!F:F))</f>
        <v/>
      </c>
      <c r="F1852" s="54" t="str">
        <f t="shared" si="84"/>
        <v/>
      </c>
      <c r="G1852" s="54" t="str">
        <f t="shared" si="85"/>
        <v/>
      </c>
      <c r="H1852" s="54" t="str">
        <f t="shared" si="86"/>
        <v/>
      </c>
    </row>
    <row r="1853" spans="5:8" x14ac:dyDescent="0.25">
      <c r="E1853" s="54" t="str">
        <f>IF(A1853="","",SUMIF('Daftar Transaksi'!D:D,A1853,'Daftar Transaksi'!F:F))</f>
        <v/>
      </c>
      <c r="F1853" s="54" t="str">
        <f t="shared" si="84"/>
        <v/>
      </c>
      <c r="G1853" s="54" t="str">
        <f t="shared" si="85"/>
        <v/>
      </c>
      <c r="H1853" s="54" t="str">
        <f t="shared" si="86"/>
        <v/>
      </c>
    </row>
    <row r="1854" spans="5:8" x14ac:dyDescent="0.25">
      <c r="E1854" s="54" t="str">
        <f>IF(A1854="","",SUMIF('Daftar Transaksi'!D:D,A1854,'Daftar Transaksi'!F:F))</f>
        <v/>
      </c>
      <c r="F1854" s="54" t="str">
        <f t="shared" si="84"/>
        <v/>
      </c>
      <c r="G1854" s="54" t="str">
        <f t="shared" si="85"/>
        <v/>
      </c>
      <c r="H1854" s="54" t="str">
        <f t="shared" si="86"/>
        <v/>
      </c>
    </row>
    <row r="1855" spans="5:8" x14ac:dyDescent="0.25">
      <c r="E1855" s="54" t="str">
        <f>IF(A1855="","",SUMIF('Daftar Transaksi'!D:D,A1855,'Daftar Transaksi'!F:F))</f>
        <v/>
      </c>
      <c r="F1855" s="54" t="str">
        <f t="shared" ref="F1855:F1918" si="87">IF(A1855="","",D1855-E1855)</f>
        <v/>
      </c>
      <c r="G1855" s="54" t="str">
        <f t="shared" ref="G1855:G1918" si="88">IF(A1855="","",C1855*E1855)</f>
        <v/>
      </c>
      <c r="H1855" s="54" t="str">
        <f t="shared" ref="H1855:H1918" si="89">IF(A1855="","",G1855-(B1855*E1855))</f>
        <v/>
      </c>
    </row>
    <row r="1856" spans="5:8" x14ac:dyDescent="0.25">
      <c r="E1856" s="54" t="str">
        <f>IF(A1856="","",SUMIF('Daftar Transaksi'!D:D,A1856,'Daftar Transaksi'!F:F))</f>
        <v/>
      </c>
      <c r="F1856" s="54" t="str">
        <f t="shared" si="87"/>
        <v/>
      </c>
      <c r="G1856" s="54" t="str">
        <f t="shared" si="88"/>
        <v/>
      </c>
      <c r="H1856" s="54" t="str">
        <f t="shared" si="89"/>
        <v/>
      </c>
    </row>
    <row r="1857" spans="5:8" x14ac:dyDescent="0.25">
      <c r="E1857" s="54" t="str">
        <f>IF(A1857="","",SUMIF('Daftar Transaksi'!D:D,A1857,'Daftar Transaksi'!F:F))</f>
        <v/>
      </c>
      <c r="F1857" s="54" t="str">
        <f t="shared" si="87"/>
        <v/>
      </c>
      <c r="G1857" s="54" t="str">
        <f t="shared" si="88"/>
        <v/>
      </c>
      <c r="H1857" s="54" t="str">
        <f t="shared" si="89"/>
        <v/>
      </c>
    </row>
    <row r="1858" spans="5:8" x14ac:dyDescent="0.25">
      <c r="E1858" s="54" t="str">
        <f>IF(A1858="","",SUMIF('Daftar Transaksi'!D:D,A1858,'Daftar Transaksi'!F:F))</f>
        <v/>
      </c>
      <c r="F1858" s="54" t="str">
        <f t="shared" si="87"/>
        <v/>
      </c>
      <c r="G1858" s="54" t="str">
        <f t="shared" si="88"/>
        <v/>
      </c>
      <c r="H1858" s="54" t="str">
        <f t="shared" si="89"/>
        <v/>
      </c>
    </row>
    <row r="1859" spans="5:8" x14ac:dyDescent="0.25">
      <c r="E1859" s="54" t="str">
        <f>IF(A1859="","",SUMIF('Daftar Transaksi'!D:D,A1859,'Daftar Transaksi'!F:F))</f>
        <v/>
      </c>
      <c r="F1859" s="54" t="str">
        <f t="shared" si="87"/>
        <v/>
      </c>
      <c r="G1859" s="54" t="str">
        <f t="shared" si="88"/>
        <v/>
      </c>
      <c r="H1859" s="54" t="str">
        <f t="shared" si="89"/>
        <v/>
      </c>
    </row>
    <row r="1860" spans="5:8" x14ac:dyDescent="0.25">
      <c r="E1860" s="54" t="str">
        <f>IF(A1860="","",SUMIF('Daftar Transaksi'!D:D,A1860,'Daftar Transaksi'!F:F))</f>
        <v/>
      </c>
      <c r="F1860" s="54" t="str">
        <f t="shared" si="87"/>
        <v/>
      </c>
      <c r="G1860" s="54" t="str">
        <f t="shared" si="88"/>
        <v/>
      </c>
      <c r="H1860" s="54" t="str">
        <f t="shared" si="89"/>
        <v/>
      </c>
    </row>
    <row r="1861" spans="5:8" x14ac:dyDescent="0.25">
      <c r="E1861" s="54" t="str">
        <f>IF(A1861="","",SUMIF('Daftar Transaksi'!D:D,A1861,'Daftar Transaksi'!F:F))</f>
        <v/>
      </c>
      <c r="F1861" s="54" t="str">
        <f t="shared" si="87"/>
        <v/>
      </c>
      <c r="G1861" s="54" t="str">
        <f t="shared" si="88"/>
        <v/>
      </c>
      <c r="H1861" s="54" t="str">
        <f t="shared" si="89"/>
        <v/>
      </c>
    </row>
    <row r="1862" spans="5:8" x14ac:dyDescent="0.25">
      <c r="E1862" s="54" t="str">
        <f>IF(A1862="","",SUMIF('Daftar Transaksi'!D:D,A1862,'Daftar Transaksi'!F:F))</f>
        <v/>
      </c>
      <c r="F1862" s="54" t="str">
        <f t="shared" si="87"/>
        <v/>
      </c>
      <c r="G1862" s="54" t="str">
        <f t="shared" si="88"/>
        <v/>
      </c>
      <c r="H1862" s="54" t="str">
        <f t="shared" si="89"/>
        <v/>
      </c>
    </row>
    <row r="1863" spans="5:8" x14ac:dyDescent="0.25">
      <c r="E1863" s="54" t="str">
        <f>IF(A1863="","",SUMIF('Daftar Transaksi'!D:D,A1863,'Daftar Transaksi'!F:F))</f>
        <v/>
      </c>
      <c r="F1863" s="54" t="str">
        <f t="shared" si="87"/>
        <v/>
      </c>
      <c r="G1863" s="54" t="str">
        <f t="shared" si="88"/>
        <v/>
      </c>
      <c r="H1863" s="54" t="str">
        <f t="shared" si="89"/>
        <v/>
      </c>
    </row>
    <row r="1864" spans="5:8" x14ac:dyDescent="0.25">
      <c r="E1864" s="54" t="str">
        <f>IF(A1864="","",SUMIF('Daftar Transaksi'!D:D,A1864,'Daftar Transaksi'!F:F))</f>
        <v/>
      </c>
      <c r="F1864" s="54" t="str">
        <f t="shared" si="87"/>
        <v/>
      </c>
      <c r="G1864" s="54" t="str">
        <f t="shared" si="88"/>
        <v/>
      </c>
      <c r="H1864" s="54" t="str">
        <f t="shared" si="89"/>
        <v/>
      </c>
    </row>
    <row r="1865" spans="5:8" x14ac:dyDescent="0.25">
      <c r="E1865" s="54" t="str">
        <f>IF(A1865="","",SUMIF('Daftar Transaksi'!D:D,A1865,'Daftar Transaksi'!F:F))</f>
        <v/>
      </c>
      <c r="F1865" s="54" t="str">
        <f t="shared" si="87"/>
        <v/>
      </c>
      <c r="G1865" s="54" t="str">
        <f t="shared" si="88"/>
        <v/>
      </c>
      <c r="H1865" s="54" t="str">
        <f t="shared" si="89"/>
        <v/>
      </c>
    </row>
    <row r="1866" spans="5:8" x14ac:dyDescent="0.25">
      <c r="E1866" s="54" t="str">
        <f>IF(A1866="","",SUMIF('Daftar Transaksi'!D:D,A1866,'Daftar Transaksi'!F:F))</f>
        <v/>
      </c>
      <c r="F1866" s="54" t="str">
        <f t="shared" si="87"/>
        <v/>
      </c>
      <c r="G1866" s="54" t="str">
        <f t="shared" si="88"/>
        <v/>
      </c>
      <c r="H1866" s="54" t="str">
        <f t="shared" si="89"/>
        <v/>
      </c>
    </row>
    <row r="1867" spans="5:8" x14ac:dyDescent="0.25">
      <c r="E1867" s="54" t="str">
        <f>IF(A1867="","",SUMIF('Daftar Transaksi'!D:D,A1867,'Daftar Transaksi'!F:F))</f>
        <v/>
      </c>
      <c r="F1867" s="54" t="str">
        <f t="shared" si="87"/>
        <v/>
      </c>
      <c r="G1867" s="54" t="str">
        <f t="shared" si="88"/>
        <v/>
      </c>
      <c r="H1867" s="54" t="str">
        <f t="shared" si="89"/>
        <v/>
      </c>
    </row>
    <row r="1868" spans="5:8" x14ac:dyDescent="0.25">
      <c r="E1868" s="54" t="str">
        <f>IF(A1868="","",SUMIF('Daftar Transaksi'!D:D,A1868,'Daftar Transaksi'!F:F))</f>
        <v/>
      </c>
      <c r="F1868" s="54" t="str">
        <f t="shared" si="87"/>
        <v/>
      </c>
      <c r="G1868" s="54" t="str">
        <f t="shared" si="88"/>
        <v/>
      </c>
      <c r="H1868" s="54" t="str">
        <f t="shared" si="89"/>
        <v/>
      </c>
    </row>
    <row r="1869" spans="5:8" x14ac:dyDescent="0.25">
      <c r="E1869" s="54" t="str">
        <f>IF(A1869="","",SUMIF('Daftar Transaksi'!D:D,A1869,'Daftar Transaksi'!F:F))</f>
        <v/>
      </c>
      <c r="F1869" s="54" t="str">
        <f t="shared" si="87"/>
        <v/>
      </c>
      <c r="G1869" s="54" t="str">
        <f t="shared" si="88"/>
        <v/>
      </c>
      <c r="H1869" s="54" t="str">
        <f t="shared" si="89"/>
        <v/>
      </c>
    </row>
    <row r="1870" spans="5:8" x14ac:dyDescent="0.25">
      <c r="E1870" s="54" t="str">
        <f>IF(A1870="","",SUMIF('Daftar Transaksi'!D:D,A1870,'Daftar Transaksi'!F:F))</f>
        <v/>
      </c>
      <c r="F1870" s="54" t="str">
        <f t="shared" si="87"/>
        <v/>
      </c>
      <c r="G1870" s="54" t="str">
        <f t="shared" si="88"/>
        <v/>
      </c>
      <c r="H1870" s="54" t="str">
        <f t="shared" si="89"/>
        <v/>
      </c>
    </row>
    <row r="1871" spans="5:8" x14ac:dyDescent="0.25">
      <c r="E1871" s="54" t="str">
        <f>IF(A1871="","",SUMIF('Daftar Transaksi'!D:D,A1871,'Daftar Transaksi'!F:F))</f>
        <v/>
      </c>
      <c r="F1871" s="54" t="str">
        <f t="shared" si="87"/>
        <v/>
      </c>
      <c r="G1871" s="54" t="str">
        <f t="shared" si="88"/>
        <v/>
      </c>
      <c r="H1871" s="54" t="str">
        <f t="shared" si="89"/>
        <v/>
      </c>
    </row>
    <row r="1872" spans="5:8" x14ac:dyDescent="0.25">
      <c r="E1872" s="54" t="str">
        <f>IF(A1872="","",SUMIF('Daftar Transaksi'!D:D,A1872,'Daftar Transaksi'!F:F))</f>
        <v/>
      </c>
      <c r="F1872" s="54" t="str">
        <f t="shared" si="87"/>
        <v/>
      </c>
      <c r="G1872" s="54" t="str">
        <f t="shared" si="88"/>
        <v/>
      </c>
      <c r="H1872" s="54" t="str">
        <f t="shared" si="89"/>
        <v/>
      </c>
    </row>
    <row r="1873" spans="5:8" x14ac:dyDescent="0.25">
      <c r="E1873" s="54" t="str">
        <f>IF(A1873="","",SUMIF('Daftar Transaksi'!D:D,A1873,'Daftar Transaksi'!F:F))</f>
        <v/>
      </c>
      <c r="F1873" s="54" t="str">
        <f t="shared" si="87"/>
        <v/>
      </c>
      <c r="G1873" s="54" t="str">
        <f t="shared" si="88"/>
        <v/>
      </c>
      <c r="H1873" s="54" t="str">
        <f t="shared" si="89"/>
        <v/>
      </c>
    </row>
    <row r="1874" spans="5:8" x14ac:dyDescent="0.25">
      <c r="E1874" s="54" t="str">
        <f>IF(A1874="","",SUMIF('Daftar Transaksi'!D:D,A1874,'Daftar Transaksi'!F:F))</f>
        <v/>
      </c>
      <c r="F1874" s="54" t="str">
        <f t="shared" si="87"/>
        <v/>
      </c>
      <c r="G1874" s="54" t="str">
        <f t="shared" si="88"/>
        <v/>
      </c>
      <c r="H1874" s="54" t="str">
        <f t="shared" si="89"/>
        <v/>
      </c>
    </row>
    <row r="1875" spans="5:8" x14ac:dyDescent="0.25">
      <c r="E1875" s="54" t="str">
        <f>IF(A1875="","",SUMIF('Daftar Transaksi'!D:D,A1875,'Daftar Transaksi'!F:F))</f>
        <v/>
      </c>
      <c r="F1875" s="54" t="str">
        <f t="shared" si="87"/>
        <v/>
      </c>
      <c r="G1875" s="54" t="str">
        <f t="shared" si="88"/>
        <v/>
      </c>
      <c r="H1875" s="54" t="str">
        <f t="shared" si="89"/>
        <v/>
      </c>
    </row>
    <row r="1876" spans="5:8" x14ac:dyDescent="0.25">
      <c r="E1876" s="54" t="str">
        <f>IF(A1876="","",SUMIF('Daftar Transaksi'!D:D,A1876,'Daftar Transaksi'!F:F))</f>
        <v/>
      </c>
      <c r="F1876" s="54" t="str">
        <f t="shared" si="87"/>
        <v/>
      </c>
      <c r="G1876" s="54" t="str">
        <f t="shared" si="88"/>
        <v/>
      </c>
      <c r="H1876" s="54" t="str">
        <f t="shared" si="89"/>
        <v/>
      </c>
    </row>
    <row r="1877" spans="5:8" x14ac:dyDescent="0.25">
      <c r="E1877" s="54" t="str">
        <f>IF(A1877="","",SUMIF('Daftar Transaksi'!D:D,A1877,'Daftar Transaksi'!F:F))</f>
        <v/>
      </c>
      <c r="F1877" s="54" t="str">
        <f t="shared" si="87"/>
        <v/>
      </c>
      <c r="G1877" s="54" t="str">
        <f t="shared" si="88"/>
        <v/>
      </c>
      <c r="H1877" s="54" t="str">
        <f t="shared" si="89"/>
        <v/>
      </c>
    </row>
    <row r="1878" spans="5:8" x14ac:dyDescent="0.25">
      <c r="E1878" s="54" t="str">
        <f>IF(A1878="","",SUMIF('Daftar Transaksi'!D:D,A1878,'Daftar Transaksi'!F:F))</f>
        <v/>
      </c>
      <c r="F1878" s="54" t="str">
        <f t="shared" si="87"/>
        <v/>
      </c>
      <c r="G1878" s="54" t="str">
        <f t="shared" si="88"/>
        <v/>
      </c>
      <c r="H1878" s="54" t="str">
        <f t="shared" si="89"/>
        <v/>
      </c>
    </row>
    <row r="1879" spans="5:8" x14ac:dyDescent="0.25">
      <c r="E1879" s="54" t="str">
        <f>IF(A1879="","",SUMIF('Daftar Transaksi'!D:D,A1879,'Daftar Transaksi'!F:F))</f>
        <v/>
      </c>
      <c r="F1879" s="54" t="str">
        <f t="shared" si="87"/>
        <v/>
      </c>
      <c r="G1879" s="54" t="str">
        <f t="shared" si="88"/>
        <v/>
      </c>
      <c r="H1879" s="54" t="str">
        <f t="shared" si="89"/>
        <v/>
      </c>
    </row>
    <row r="1880" spans="5:8" x14ac:dyDescent="0.25">
      <c r="E1880" s="54" t="str">
        <f>IF(A1880="","",SUMIF('Daftar Transaksi'!D:D,A1880,'Daftar Transaksi'!F:F))</f>
        <v/>
      </c>
      <c r="F1880" s="54" t="str">
        <f t="shared" si="87"/>
        <v/>
      </c>
      <c r="G1880" s="54" t="str">
        <f t="shared" si="88"/>
        <v/>
      </c>
      <c r="H1880" s="54" t="str">
        <f t="shared" si="89"/>
        <v/>
      </c>
    </row>
    <row r="1881" spans="5:8" x14ac:dyDescent="0.25">
      <c r="E1881" s="54" t="str">
        <f>IF(A1881="","",SUMIF('Daftar Transaksi'!D:D,A1881,'Daftar Transaksi'!F:F))</f>
        <v/>
      </c>
      <c r="F1881" s="54" t="str">
        <f t="shared" si="87"/>
        <v/>
      </c>
      <c r="G1881" s="54" t="str">
        <f t="shared" si="88"/>
        <v/>
      </c>
      <c r="H1881" s="54" t="str">
        <f t="shared" si="89"/>
        <v/>
      </c>
    </row>
    <row r="1882" spans="5:8" x14ac:dyDescent="0.25">
      <c r="E1882" s="54" t="str">
        <f>IF(A1882="","",SUMIF('Daftar Transaksi'!D:D,A1882,'Daftar Transaksi'!F:F))</f>
        <v/>
      </c>
      <c r="F1882" s="54" t="str">
        <f t="shared" si="87"/>
        <v/>
      </c>
      <c r="G1882" s="54" t="str">
        <f t="shared" si="88"/>
        <v/>
      </c>
      <c r="H1882" s="54" t="str">
        <f t="shared" si="89"/>
        <v/>
      </c>
    </row>
    <row r="1883" spans="5:8" x14ac:dyDescent="0.25">
      <c r="E1883" s="54" t="str">
        <f>IF(A1883="","",SUMIF('Daftar Transaksi'!D:D,A1883,'Daftar Transaksi'!F:F))</f>
        <v/>
      </c>
      <c r="F1883" s="54" t="str">
        <f t="shared" si="87"/>
        <v/>
      </c>
      <c r="G1883" s="54" t="str">
        <f t="shared" si="88"/>
        <v/>
      </c>
      <c r="H1883" s="54" t="str">
        <f t="shared" si="89"/>
        <v/>
      </c>
    </row>
    <row r="1884" spans="5:8" x14ac:dyDescent="0.25">
      <c r="E1884" s="54" t="str">
        <f>IF(A1884="","",SUMIF('Daftar Transaksi'!D:D,A1884,'Daftar Transaksi'!F:F))</f>
        <v/>
      </c>
      <c r="F1884" s="54" t="str">
        <f t="shared" si="87"/>
        <v/>
      </c>
      <c r="G1884" s="54" t="str">
        <f t="shared" si="88"/>
        <v/>
      </c>
      <c r="H1884" s="54" t="str">
        <f t="shared" si="89"/>
        <v/>
      </c>
    </row>
    <row r="1885" spans="5:8" x14ac:dyDescent="0.25">
      <c r="E1885" s="54" t="str">
        <f>IF(A1885="","",SUMIF('Daftar Transaksi'!D:D,A1885,'Daftar Transaksi'!F:F))</f>
        <v/>
      </c>
      <c r="F1885" s="54" t="str">
        <f t="shared" si="87"/>
        <v/>
      </c>
      <c r="G1885" s="54" t="str">
        <f t="shared" si="88"/>
        <v/>
      </c>
      <c r="H1885" s="54" t="str">
        <f t="shared" si="89"/>
        <v/>
      </c>
    </row>
    <row r="1886" spans="5:8" x14ac:dyDescent="0.25">
      <c r="E1886" s="54" t="str">
        <f>IF(A1886="","",SUMIF('Daftar Transaksi'!D:D,A1886,'Daftar Transaksi'!F:F))</f>
        <v/>
      </c>
      <c r="F1886" s="54" t="str">
        <f t="shared" si="87"/>
        <v/>
      </c>
      <c r="G1886" s="54" t="str">
        <f t="shared" si="88"/>
        <v/>
      </c>
      <c r="H1886" s="54" t="str">
        <f t="shared" si="89"/>
        <v/>
      </c>
    </row>
    <row r="1887" spans="5:8" x14ac:dyDescent="0.25">
      <c r="E1887" s="54" t="str">
        <f>IF(A1887="","",SUMIF('Daftar Transaksi'!D:D,A1887,'Daftar Transaksi'!F:F))</f>
        <v/>
      </c>
      <c r="F1887" s="54" t="str">
        <f t="shared" si="87"/>
        <v/>
      </c>
      <c r="G1887" s="54" t="str">
        <f t="shared" si="88"/>
        <v/>
      </c>
      <c r="H1887" s="54" t="str">
        <f t="shared" si="89"/>
        <v/>
      </c>
    </row>
    <row r="1888" spans="5:8" x14ac:dyDescent="0.25">
      <c r="E1888" s="54" t="str">
        <f>IF(A1888="","",SUMIF('Daftar Transaksi'!D:D,A1888,'Daftar Transaksi'!F:F))</f>
        <v/>
      </c>
      <c r="F1888" s="54" t="str">
        <f t="shared" si="87"/>
        <v/>
      </c>
      <c r="G1888" s="54" t="str">
        <f t="shared" si="88"/>
        <v/>
      </c>
      <c r="H1888" s="54" t="str">
        <f t="shared" si="89"/>
        <v/>
      </c>
    </row>
    <row r="1889" spans="5:8" x14ac:dyDescent="0.25">
      <c r="E1889" s="54" t="str">
        <f>IF(A1889="","",SUMIF('Daftar Transaksi'!D:D,A1889,'Daftar Transaksi'!F:F))</f>
        <v/>
      </c>
      <c r="F1889" s="54" t="str">
        <f t="shared" si="87"/>
        <v/>
      </c>
      <c r="G1889" s="54" t="str">
        <f t="shared" si="88"/>
        <v/>
      </c>
      <c r="H1889" s="54" t="str">
        <f t="shared" si="89"/>
        <v/>
      </c>
    </row>
    <row r="1890" spans="5:8" x14ac:dyDescent="0.25">
      <c r="E1890" s="54" t="str">
        <f>IF(A1890="","",SUMIF('Daftar Transaksi'!D:D,A1890,'Daftar Transaksi'!F:F))</f>
        <v/>
      </c>
      <c r="F1890" s="54" t="str">
        <f t="shared" si="87"/>
        <v/>
      </c>
      <c r="G1890" s="54" t="str">
        <f t="shared" si="88"/>
        <v/>
      </c>
      <c r="H1890" s="54" t="str">
        <f t="shared" si="89"/>
        <v/>
      </c>
    </row>
    <row r="1891" spans="5:8" x14ac:dyDescent="0.25">
      <c r="E1891" s="54" t="str">
        <f>IF(A1891="","",SUMIF('Daftar Transaksi'!D:D,A1891,'Daftar Transaksi'!F:F))</f>
        <v/>
      </c>
      <c r="F1891" s="54" t="str">
        <f t="shared" si="87"/>
        <v/>
      </c>
      <c r="G1891" s="54" t="str">
        <f t="shared" si="88"/>
        <v/>
      </c>
      <c r="H1891" s="54" t="str">
        <f t="shared" si="89"/>
        <v/>
      </c>
    </row>
    <row r="1892" spans="5:8" x14ac:dyDescent="0.25">
      <c r="E1892" s="54" t="str">
        <f>IF(A1892="","",SUMIF('Daftar Transaksi'!D:D,A1892,'Daftar Transaksi'!F:F))</f>
        <v/>
      </c>
      <c r="F1892" s="54" t="str">
        <f t="shared" si="87"/>
        <v/>
      </c>
      <c r="G1892" s="54" t="str">
        <f t="shared" si="88"/>
        <v/>
      </c>
      <c r="H1892" s="54" t="str">
        <f t="shared" si="89"/>
        <v/>
      </c>
    </row>
    <row r="1893" spans="5:8" x14ac:dyDescent="0.25">
      <c r="E1893" s="54" t="str">
        <f>IF(A1893="","",SUMIF('Daftar Transaksi'!D:D,A1893,'Daftar Transaksi'!F:F))</f>
        <v/>
      </c>
      <c r="F1893" s="54" t="str">
        <f t="shared" si="87"/>
        <v/>
      </c>
      <c r="G1893" s="54" t="str">
        <f t="shared" si="88"/>
        <v/>
      </c>
      <c r="H1893" s="54" t="str">
        <f t="shared" si="89"/>
        <v/>
      </c>
    </row>
    <row r="1894" spans="5:8" x14ac:dyDescent="0.25">
      <c r="E1894" s="54" t="str">
        <f>IF(A1894="","",SUMIF('Daftar Transaksi'!D:D,A1894,'Daftar Transaksi'!F:F))</f>
        <v/>
      </c>
      <c r="F1894" s="54" t="str">
        <f t="shared" si="87"/>
        <v/>
      </c>
      <c r="G1894" s="54" t="str">
        <f t="shared" si="88"/>
        <v/>
      </c>
      <c r="H1894" s="54" t="str">
        <f t="shared" si="89"/>
        <v/>
      </c>
    </row>
    <row r="1895" spans="5:8" x14ac:dyDescent="0.25">
      <c r="E1895" s="54" t="str">
        <f>IF(A1895="","",SUMIF('Daftar Transaksi'!D:D,A1895,'Daftar Transaksi'!F:F))</f>
        <v/>
      </c>
      <c r="F1895" s="54" t="str">
        <f t="shared" si="87"/>
        <v/>
      </c>
      <c r="G1895" s="54" t="str">
        <f t="shared" si="88"/>
        <v/>
      </c>
      <c r="H1895" s="54" t="str">
        <f t="shared" si="89"/>
        <v/>
      </c>
    </row>
    <row r="1896" spans="5:8" x14ac:dyDescent="0.25">
      <c r="E1896" s="54" t="str">
        <f>IF(A1896="","",SUMIF('Daftar Transaksi'!D:D,A1896,'Daftar Transaksi'!F:F))</f>
        <v/>
      </c>
      <c r="F1896" s="54" t="str">
        <f t="shared" si="87"/>
        <v/>
      </c>
      <c r="G1896" s="54" t="str">
        <f t="shared" si="88"/>
        <v/>
      </c>
      <c r="H1896" s="54" t="str">
        <f t="shared" si="89"/>
        <v/>
      </c>
    </row>
    <row r="1897" spans="5:8" x14ac:dyDescent="0.25">
      <c r="E1897" s="54" t="str">
        <f>IF(A1897="","",SUMIF('Daftar Transaksi'!D:D,A1897,'Daftar Transaksi'!F:F))</f>
        <v/>
      </c>
      <c r="F1897" s="54" t="str">
        <f t="shared" si="87"/>
        <v/>
      </c>
      <c r="G1897" s="54" t="str">
        <f t="shared" si="88"/>
        <v/>
      </c>
      <c r="H1897" s="54" t="str">
        <f t="shared" si="89"/>
        <v/>
      </c>
    </row>
    <row r="1898" spans="5:8" x14ac:dyDescent="0.25">
      <c r="E1898" s="54" t="str">
        <f>IF(A1898="","",SUMIF('Daftar Transaksi'!D:D,A1898,'Daftar Transaksi'!F:F))</f>
        <v/>
      </c>
      <c r="F1898" s="54" t="str">
        <f t="shared" si="87"/>
        <v/>
      </c>
      <c r="G1898" s="54" t="str">
        <f t="shared" si="88"/>
        <v/>
      </c>
      <c r="H1898" s="54" t="str">
        <f t="shared" si="89"/>
        <v/>
      </c>
    </row>
    <row r="1899" spans="5:8" x14ac:dyDescent="0.25">
      <c r="E1899" s="54" t="str">
        <f>IF(A1899="","",SUMIF('Daftar Transaksi'!D:D,A1899,'Daftar Transaksi'!F:F))</f>
        <v/>
      </c>
      <c r="F1899" s="54" t="str">
        <f t="shared" si="87"/>
        <v/>
      </c>
      <c r="G1899" s="54" t="str">
        <f t="shared" si="88"/>
        <v/>
      </c>
      <c r="H1899" s="54" t="str">
        <f t="shared" si="89"/>
        <v/>
      </c>
    </row>
    <row r="1900" spans="5:8" x14ac:dyDescent="0.25">
      <c r="E1900" s="54" t="str">
        <f>IF(A1900="","",SUMIF('Daftar Transaksi'!D:D,A1900,'Daftar Transaksi'!F:F))</f>
        <v/>
      </c>
      <c r="F1900" s="54" t="str">
        <f t="shared" si="87"/>
        <v/>
      </c>
      <c r="G1900" s="54" t="str">
        <f t="shared" si="88"/>
        <v/>
      </c>
      <c r="H1900" s="54" t="str">
        <f t="shared" si="89"/>
        <v/>
      </c>
    </row>
    <row r="1901" spans="5:8" x14ac:dyDescent="0.25">
      <c r="E1901" s="54" t="str">
        <f>IF(A1901="","",SUMIF('Daftar Transaksi'!D:D,A1901,'Daftar Transaksi'!F:F))</f>
        <v/>
      </c>
      <c r="F1901" s="54" t="str">
        <f t="shared" si="87"/>
        <v/>
      </c>
      <c r="G1901" s="54" t="str">
        <f t="shared" si="88"/>
        <v/>
      </c>
      <c r="H1901" s="54" t="str">
        <f t="shared" si="89"/>
        <v/>
      </c>
    </row>
    <row r="1902" spans="5:8" x14ac:dyDescent="0.25">
      <c r="E1902" s="54" t="str">
        <f>IF(A1902="","",SUMIF('Daftar Transaksi'!D:D,A1902,'Daftar Transaksi'!F:F))</f>
        <v/>
      </c>
      <c r="F1902" s="54" t="str">
        <f t="shared" si="87"/>
        <v/>
      </c>
      <c r="G1902" s="54" t="str">
        <f t="shared" si="88"/>
        <v/>
      </c>
      <c r="H1902" s="54" t="str">
        <f t="shared" si="89"/>
        <v/>
      </c>
    </row>
    <row r="1903" spans="5:8" x14ac:dyDescent="0.25">
      <c r="E1903" s="54" t="str">
        <f>IF(A1903="","",SUMIF('Daftar Transaksi'!D:D,A1903,'Daftar Transaksi'!F:F))</f>
        <v/>
      </c>
      <c r="F1903" s="54" t="str">
        <f t="shared" si="87"/>
        <v/>
      </c>
      <c r="G1903" s="54" t="str">
        <f t="shared" si="88"/>
        <v/>
      </c>
      <c r="H1903" s="54" t="str">
        <f t="shared" si="89"/>
        <v/>
      </c>
    </row>
    <row r="1904" spans="5:8" x14ac:dyDescent="0.25">
      <c r="E1904" s="54" t="str">
        <f>IF(A1904="","",SUMIF('Daftar Transaksi'!D:D,A1904,'Daftar Transaksi'!F:F))</f>
        <v/>
      </c>
      <c r="F1904" s="54" t="str">
        <f t="shared" si="87"/>
        <v/>
      </c>
      <c r="G1904" s="54" t="str">
        <f t="shared" si="88"/>
        <v/>
      </c>
      <c r="H1904" s="54" t="str">
        <f t="shared" si="89"/>
        <v/>
      </c>
    </row>
    <row r="1905" spans="5:8" x14ac:dyDescent="0.25">
      <c r="E1905" s="54" t="str">
        <f>IF(A1905="","",SUMIF('Daftar Transaksi'!D:D,A1905,'Daftar Transaksi'!F:F))</f>
        <v/>
      </c>
      <c r="F1905" s="54" t="str">
        <f t="shared" si="87"/>
        <v/>
      </c>
      <c r="G1905" s="54" t="str">
        <f t="shared" si="88"/>
        <v/>
      </c>
      <c r="H1905" s="54" t="str">
        <f t="shared" si="89"/>
        <v/>
      </c>
    </row>
    <row r="1906" spans="5:8" x14ac:dyDescent="0.25">
      <c r="E1906" s="54" t="str">
        <f>IF(A1906="","",SUMIF('Daftar Transaksi'!D:D,A1906,'Daftar Transaksi'!F:F))</f>
        <v/>
      </c>
      <c r="F1906" s="54" t="str">
        <f t="shared" si="87"/>
        <v/>
      </c>
      <c r="G1906" s="54" t="str">
        <f t="shared" si="88"/>
        <v/>
      </c>
      <c r="H1906" s="54" t="str">
        <f t="shared" si="89"/>
        <v/>
      </c>
    </row>
    <row r="1907" spans="5:8" x14ac:dyDescent="0.25">
      <c r="E1907" s="54" t="str">
        <f>IF(A1907="","",SUMIF('Daftar Transaksi'!D:D,A1907,'Daftar Transaksi'!F:F))</f>
        <v/>
      </c>
      <c r="F1907" s="54" t="str">
        <f t="shared" si="87"/>
        <v/>
      </c>
      <c r="G1907" s="54" t="str">
        <f t="shared" si="88"/>
        <v/>
      </c>
      <c r="H1907" s="54" t="str">
        <f t="shared" si="89"/>
        <v/>
      </c>
    </row>
    <row r="1908" spans="5:8" x14ac:dyDescent="0.25">
      <c r="E1908" s="54" t="str">
        <f>IF(A1908="","",SUMIF('Daftar Transaksi'!D:D,A1908,'Daftar Transaksi'!F:F))</f>
        <v/>
      </c>
      <c r="F1908" s="54" t="str">
        <f t="shared" si="87"/>
        <v/>
      </c>
      <c r="G1908" s="54" t="str">
        <f t="shared" si="88"/>
        <v/>
      </c>
      <c r="H1908" s="54" t="str">
        <f t="shared" si="89"/>
        <v/>
      </c>
    </row>
    <row r="1909" spans="5:8" x14ac:dyDescent="0.25">
      <c r="E1909" s="54" t="str">
        <f>IF(A1909="","",SUMIF('Daftar Transaksi'!D:D,A1909,'Daftar Transaksi'!F:F))</f>
        <v/>
      </c>
      <c r="F1909" s="54" t="str">
        <f t="shared" si="87"/>
        <v/>
      </c>
      <c r="G1909" s="54" t="str">
        <f t="shared" si="88"/>
        <v/>
      </c>
      <c r="H1909" s="54" t="str">
        <f t="shared" si="89"/>
        <v/>
      </c>
    </row>
    <row r="1910" spans="5:8" x14ac:dyDescent="0.25">
      <c r="E1910" s="54" t="str">
        <f>IF(A1910="","",SUMIF('Daftar Transaksi'!D:D,A1910,'Daftar Transaksi'!F:F))</f>
        <v/>
      </c>
      <c r="F1910" s="54" t="str">
        <f t="shared" si="87"/>
        <v/>
      </c>
      <c r="G1910" s="54" t="str">
        <f t="shared" si="88"/>
        <v/>
      </c>
      <c r="H1910" s="54" t="str">
        <f t="shared" si="89"/>
        <v/>
      </c>
    </row>
    <row r="1911" spans="5:8" x14ac:dyDescent="0.25">
      <c r="E1911" s="54" t="str">
        <f>IF(A1911="","",SUMIF('Daftar Transaksi'!D:D,A1911,'Daftar Transaksi'!F:F))</f>
        <v/>
      </c>
      <c r="F1911" s="54" t="str">
        <f t="shared" si="87"/>
        <v/>
      </c>
      <c r="G1911" s="54" t="str">
        <f t="shared" si="88"/>
        <v/>
      </c>
      <c r="H1911" s="54" t="str">
        <f t="shared" si="89"/>
        <v/>
      </c>
    </row>
    <row r="1912" spans="5:8" x14ac:dyDescent="0.25">
      <c r="E1912" s="54" t="str">
        <f>IF(A1912="","",SUMIF('Daftar Transaksi'!D:D,A1912,'Daftar Transaksi'!F:F))</f>
        <v/>
      </c>
      <c r="F1912" s="54" t="str">
        <f t="shared" si="87"/>
        <v/>
      </c>
      <c r="G1912" s="54" t="str">
        <f t="shared" si="88"/>
        <v/>
      </c>
      <c r="H1912" s="54" t="str">
        <f t="shared" si="89"/>
        <v/>
      </c>
    </row>
    <row r="1913" spans="5:8" x14ac:dyDescent="0.25">
      <c r="E1913" s="54" t="str">
        <f>IF(A1913="","",SUMIF('Daftar Transaksi'!D:D,A1913,'Daftar Transaksi'!F:F))</f>
        <v/>
      </c>
      <c r="F1913" s="54" t="str">
        <f t="shared" si="87"/>
        <v/>
      </c>
      <c r="G1913" s="54" t="str">
        <f t="shared" si="88"/>
        <v/>
      </c>
      <c r="H1913" s="54" t="str">
        <f t="shared" si="89"/>
        <v/>
      </c>
    </row>
    <row r="1914" spans="5:8" x14ac:dyDescent="0.25">
      <c r="E1914" s="54" t="str">
        <f>IF(A1914="","",SUMIF('Daftar Transaksi'!D:D,A1914,'Daftar Transaksi'!F:F))</f>
        <v/>
      </c>
      <c r="F1914" s="54" t="str">
        <f t="shared" si="87"/>
        <v/>
      </c>
      <c r="G1914" s="54" t="str">
        <f t="shared" si="88"/>
        <v/>
      </c>
      <c r="H1914" s="54" t="str">
        <f t="shared" si="89"/>
        <v/>
      </c>
    </row>
    <row r="1915" spans="5:8" x14ac:dyDescent="0.25">
      <c r="E1915" s="54" t="str">
        <f>IF(A1915="","",SUMIF('Daftar Transaksi'!D:D,A1915,'Daftar Transaksi'!F:F))</f>
        <v/>
      </c>
      <c r="F1915" s="54" t="str">
        <f t="shared" si="87"/>
        <v/>
      </c>
      <c r="G1915" s="54" t="str">
        <f t="shared" si="88"/>
        <v/>
      </c>
      <c r="H1915" s="54" t="str">
        <f t="shared" si="89"/>
        <v/>
      </c>
    </row>
    <row r="1916" spans="5:8" x14ac:dyDescent="0.25">
      <c r="E1916" s="54" t="str">
        <f>IF(A1916="","",SUMIF('Daftar Transaksi'!D:D,A1916,'Daftar Transaksi'!F:F))</f>
        <v/>
      </c>
      <c r="F1916" s="54" t="str">
        <f t="shared" si="87"/>
        <v/>
      </c>
      <c r="G1916" s="54" t="str">
        <f t="shared" si="88"/>
        <v/>
      </c>
      <c r="H1916" s="54" t="str">
        <f t="shared" si="89"/>
        <v/>
      </c>
    </row>
    <row r="1917" spans="5:8" x14ac:dyDescent="0.25">
      <c r="E1917" s="54" t="str">
        <f>IF(A1917="","",SUMIF('Daftar Transaksi'!D:D,A1917,'Daftar Transaksi'!F:F))</f>
        <v/>
      </c>
      <c r="F1917" s="54" t="str">
        <f t="shared" si="87"/>
        <v/>
      </c>
      <c r="G1917" s="54" t="str">
        <f t="shared" si="88"/>
        <v/>
      </c>
      <c r="H1917" s="54" t="str">
        <f t="shared" si="89"/>
        <v/>
      </c>
    </row>
    <row r="1918" spans="5:8" x14ac:dyDescent="0.25">
      <c r="E1918" s="54" t="str">
        <f>IF(A1918="","",SUMIF('Daftar Transaksi'!D:D,A1918,'Daftar Transaksi'!F:F))</f>
        <v/>
      </c>
      <c r="F1918" s="54" t="str">
        <f t="shared" si="87"/>
        <v/>
      </c>
      <c r="G1918" s="54" t="str">
        <f t="shared" si="88"/>
        <v/>
      </c>
      <c r="H1918" s="54" t="str">
        <f t="shared" si="89"/>
        <v/>
      </c>
    </row>
    <row r="1919" spans="5:8" x14ac:dyDescent="0.25">
      <c r="E1919" s="54" t="str">
        <f>IF(A1919="","",SUMIF('Daftar Transaksi'!D:D,A1919,'Daftar Transaksi'!F:F))</f>
        <v/>
      </c>
      <c r="F1919" s="54" t="str">
        <f t="shared" ref="F1919:F1982" si="90">IF(A1919="","",D1919-E1919)</f>
        <v/>
      </c>
      <c r="G1919" s="54" t="str">
        <f t="shared" ref="G1919:G1982" si="91">IF(A1919="","",C1919*E1919)</f>
        <v/>
      </c>
      <c r="H1919" s="54" t="str">
        <f t="shared" ref="H1919:H1982" si="92">IF(A1919="","",G1919-(B1919*E1919))</f>
        <v/>
      </c>
    </row>
    <row r="1920" spans="5:8" x14ac:dyDescent="0.25">
      <c r="E1920" s="54" t="str">
        <f>IF(A1920="","",SUMIF('Daftar Transaksi'!D:D,A1920,'Daftar Transaksi'!F:F))</f>
        <v/>
      </c>
      <c r="F1920" s="54" t="str">
        <f t="shared" si="90"/>
        <v/>
      </c>
      <c r="G1920" s="54" t="str">
        <f t="shared" si="91"/>
        <v/>
      </c>
      <c r="H1920" s="54" t="str">
        <f t="shared" si="92"/>
        <v/>
      </c>
    </row>
    <row r="1921" spans="5:8" x14ac:dyDescent="0.25">
      <c r="E1921" s="54" t="str">
        <f>IF(A1921="","",SUMIF('Daftar Transaksi'!D:D,A1921,'Daftar Transaksi'!F:F))</f>
        <v/>
      </c>
      <c r="F1921" s="54" t="str">
        <f t="shared" si="90"/>
        <v/>
      </c>
      <c r="G1921" s="54" t="str">
        <f t="shared" si="91"/>
        <v/>
      </c>
      <c r="H1921" s="54" t="str">
        <f t="shared" si="92"/>
        <v/>
      </c>
    </row>
    <row r="1922" spans="5:8" x14ac:dyDescent="0.25">
      <c r="E1922" s="54" t="str">
        <f>IF(A1922="","",SUMIF('Daftar Transaksi'!D:D,A1922,'Daftar Transaksi'!F:F))</f>
        <v/>
      </c>
      <c r="F1922" s="54" t="str">
        <f t="shared" si="90"/>
        <v/>
      </c>
      <c r="G1922" s="54" t="str">
        <f t="shared" si="91"/>
        <v/>
      </c>
      <c r="H1922" s="54" t="str">
        <f t="shared" si="92"/>
        <v/>
      </c>
    </row>
    <row r="1923" spans="5:8" x14ac:dyDescent="0.25">
      <c r="E1923" s="54" t="str">
        <f>IF(A1923="","",SUMIF('Daftar Transaksi'!D:D,A1923,'Daftar Transaksi'!F:F))</f>
        <v/>
      </c>
      <c r="F1923" s="54" t="str">
        <f t="shared" si="90"/>
        <v/>
      </c>
      <c r="G1923" s="54" t="str">
        <f t="shared" si="91"/>
        <v/>
      </c>
      <c r="H1923" s="54" t="str">
        <f t="shared" si="92"/>
        <v/>
      </c>
    </row>
    <row r="1924" spans="5:8" x14ac:dyDescent="0.25">
      <c r="E1924" s="54" t="str">
        <f>IF(A1924="","",SUMIF('Daftar Transaksi'!D:D,A1924,'Daftar Transaksi'!F:F))</f>
        <v/>
      </c>
      <c r="F1924" s="54" t="str">
        <f t="shared" si="90"/>
        <v/>
      </c>
      <c r="G1924" s="54" t="str">
        <f t="shared" si="91"/>
        <v/>
      </c>
      <c r="H1924" s="54" t="str">
        <f t="shared" si="92"/>
        <v/>
      </c>
    </row>
    <row r="1925" spans="5:8" x14ac:dyDescent="0.25">
      <c r="E1925" s="54" t="str">
        <f>IF(A1925="","",SUMIF('Daftar Transaksi'!D:D,A1925,'Daftar Transaksi'!F:F))</f>
        <v/>
      </c>
      <c r="F1925" s="54" t="str">
        <f t="shared" si="90"/>
        <v/>
      </c>
      <c r="G1925" s="54" t="str">
        <f t="shared" si="91"/>
        <v/>
      </c>
      <c r="H1925" s="54" t="str">
        <f t="shared" si="92"/>
        <v/>
      </c>
    </row>
    <row r="1926" spans="5:8" x14ac:dyDescent="0.25">
      <c r="E1926" s="54" t="str">
        <f>IF(A1926="","",SUMIF('Daftar Transaksi'!D:D,A1926,'Daftar Transaksi'!F:F))</f>
        <v/>
      </c>
      <c r="F1926" s="54" t="str">
        <f t="shared" si="90"/>
        <v/>
      </c>
      <c r="G1926" s="54" t="str">
        <f t="shared" si="91"/>
        <v/>
      </c>
      <c r="H1926" s="54" t="str">
        <f t="shared" si="92"/>
        <v/>
      </c>
    </row>
    <row r="1927" spans="5:8" x14ac:dyDescent="0.25">
      <c r="E1927" s="54" t="str">
        <f>IF(A1927="","",SUMIF('Daftar Transaksi'!D:D,A1927,'Daftar Transaksi'!F:F))</f>
        <v/>
      </c>
      <c r="F1927" s="54" t="str">
        <f t="shared" si="90"/>
        <v/>
      </c>
      <c r="G1927" s="54" t="str">
        <f t="shared" si="91"/>
        <v/>
      </c>
      <c r="H1927" s="54" t="str">
        <f t="shared" si="92"/>
        <v/>
      </c>
    </row>
    <row r="1928" spans="5:8" x14ac:dyDescent="0.25">
      <c r="E1928" s="54" t="str">
        <f>IF(A1928="","",SUMIF('Daftar Transaksi'!D:D,A1928,'Daftar Transaksi'!F:F))</f>
        <v/>
      </c>
      <c r="F1928" s="54" t="str">
        <f t="shared" si="90"/>
        <v/>
      </c>
      <c r="G1928" s="54" t="str">
        <f t="shared" si="91"/>
        <v/>
      </c>
      <c r="H1928" s="54" t="str">
        <f t="shared" si="92"/>
        <v/>
      </c>
    </row>
    <row r="1929" spans="5:8" x14ac:dyDescent="0.25">
      <c r="E1929" s="54" t="str">
        <f>IF(A1929="","",SUMIF('Daftar Transaksi'!D:D,A1929,'Daftar Transaksi'!F:F))</f>
        <v/>
      </c>
      <c r="F1929" s="54" t="str">
        <f t="shared" si="90"/>
        <v/>
      </c>
      <c r="G1929" s="54" t="str">
        <f t="shared" si="91"/>
        <v/>
      </c>
      <c r="H1929" s="54" t="str">
        <f t="shared" si="92"/>
        <v/>
      </c>
    </row>
    <row r="1930" spans="5:8" x14ac:dyDescent="0.25">
      <c r="E1930" s="54" t="str">
        <f>IF(A1930="","",SUMIF('Daftar Transaksi'!D:D,A1930,'Daftar Transaksi'!F:F))</f>
        <v/>
      </c>
      <c r="F1930" s="54" t="str">
        <f t="shared" si="90"/>
        <v/>
      </c>
      <c r="G1930" s="54" t="str">
        <f t="shared" si="91"/>
        <v/>
      </c>
      <c r="H1930" s="54" t="str">
        <f t="shared" si="92"/>
        <v/>
      </c>
    </row>
    <row r="1931" spans="5:8" x14ac:dyDescent="0.25">
      <c r="E1931" s="54" t="str">
        <f>IF(A1931="","",SUMIF('Daftar Transaksi'!D:D,A1931,'Daftar Transaksi'!F:F))</f>
        <v/>
      </c>
      <c r="F1931" s="54" t="str">
        <f t="shared" si="90"/>
        <v/>
      </c>
      <c r="G1931" s="54" t="str">
        <f t="shared" si="91"/>
        <v/>
      </c>
      <c r="H1931" s="54" t="str">
        <f t="shared" si="92"/>
        <v/>
      </c>
    </row>
    <row r="1932" spans="5:8" x14ac:dyDescent="0.25">
      <c r="E1932" s="54" t="str">
        <f>IF(A1932="","",SUMIF('Daftar Transaksi'!D:D,A1932,'Daftar Transaksi'!F:F))</f>
        <v/>
      </c>
      <c r="F1932" s="54" t="str">
        <f t="shared" si="90"/>
        <v/>
      </c>
      <c r="G1932" s="54" t="str">
        <f t="shared" si="91"/>
        <v/>
      </c>
      <c r="H1932" s="54" t="str">
        <f t="shared" si="92"/>
        <v/>
      </c>
    </row>
    <row r="1933" spans="5:8" x14ac:dyDescent="0.25">
      <c r="E1933" s="54" t="str">
        <f>IF(A1933="","",SUMIF('Daftar Transaksi'!D:D,A1933,'Daftar Transaksi'!F:F))</f>
        <v/>
      </c>
      <c r="F1933" s="54" t="str">
        <f t="shared" si="90"/>
        <v/>
      </c>
      <c r="G1933" s="54" t="str">
        <f t="shared" si="91"/>
        <v/>
      </c>
      <c r="H1933" s="54" t="str">
        <f t="shared" si="92"/>
        <v/>
      </c>
    </row>
    <row r="1934" spans="5:8" x14ac:dyDescent="0.25">
      <c r="E1934" s="54" t="str">
        <f>IF(A1934="","",SUMIF('Daftar Transaksi'!D:D,A1934,'Daftar Transaksi'!F:F))</f>
        <v/>
      </c>
      <c r="F1934" s="54" t="str">
        <f t="shared" si="90"/>
        <v/>
      </c>
      <c r="G1934" s="54" t="str">
        <f t="shared" si="91"/>
        <v/>
      </c>
      <c r="H1934" s="54" t="str">
        <f t="shared" si="92"/>
        <v/>
      </c>
    </row>
    <row r="1935" spans="5:8" x14ac:dyDescent="0.25">
      <c r="E1935" s="54" t="str">
        <f>IF(A1935="","",SUMIF('Daftar Transaksi'!D:D,A1935,'Daftar Transaksi'!F:F))</f>
        <v/>
      </c>
      <c r="F1935" s="54" t="str">
        <f t="shared" si="90"/>
        <v/>
      </c>
      <c r="G1935" s="54" t="str">
        <f t="shared" si="91"/>
        <v/>
      </c>
      <c r="H1935" s="54" t="str">
        <f t="shared" si="92"/>
        <v/>
      </c>
    </row>
    <row r="1936" spans="5:8" x14ac:dyDescent="0.25">
      <c r="E1936" s="54" t="str">
        <f>IF(A1936="","",SUMIF('Daftar Transaksi'!D:D,A1936,'Daftar Transaksi'!F:F))</f>
        <v/>
      </c>
      <c r="F1936" s="54" t="str">
        <f t="shared" si="90"/>
        <v/>
      </c>
      <c r="G1936" s="54" t="str">
        <f t="shared" si="91"/>
        <v/>
      </c>
      <c r="H1936" s="54" t="str">
        <f t="shared" si="92"/>
        <v/>
      </c>
    </row>
    <row r="1937" spans="5:8" x14ac:dyDescent="0.25">
      <c r="E1937" s="54" t="str">
        <f>IF(A1937="","",SUMIF('Daftar Transaksi'!D:D,A1937,'Daftar Transaksi'!F:F))</f>
        <v/>
      </c>
      <c r="F1937" s="54" t="str">
        <f t="shared" si="90"/>
        <v/>
      </c>
      <c r="G1937" s="54" t="str">
        <f t="shared" si="91"/>
        <v/>
      </c>
      <c r="H1937" s="54" t="str">
        <f t="shared" si="92"/>
        <v/>
      </c>
    </row>
    <row r="1938" spans="5:8" x14ac:dyDescent="0.25">
      <c r="E1938" s="54" t="str">
        <f>IF(A1938="","",SUMIF('Daftar Transaksi'!D:D,A1938,'Daftar Transaksi'!F:F))</f>
        <v/>
      </c>
      <c r="F1938" s="54" t="str">
        <f t="shared" si="90"/>
        <v/>
      </c>
      <c r="G1938" s="54" t="str">
        <f t="shared" si="91"/>
        <v/>
      </c>
      <c r="H1938" s="54" t="str">
        <f t="shared" si="92"/>
        <v/>
      </c>
    </row>
    <row r="1939" spans="5:8" x14ac:dyDescent="0.25">
      <c r="E1939" s="54" t="str">
        <f>IF(A1939="","",SUMIF('Daftar Transaksi'!D:D,A1939,'Daftar Transaksi'!F:F))</f>
        <v/>
      </c>
      <c r="F1939" s="54" t="str">
        <f t="shared" si="90"/>
        <v/>
      </c>
      <c r="G1939" s="54" t="str">
        <f t="shared" si="91"/>
        <v/>
      </c>
      <c r="H1939" s="54" t="str">
        <f t="shared" si="92"/>
        <v/>
      </c>
    </row>
    <row r="1940" spans="5:8" x14ac:dyDescent="0.25">
      <c r="E1940" s="54" t="str">
        <f>IF(A1940="","",SUMIF('Daftar Transaksi'!D:D,A1940,'Daftar Transaksi'!F:F))</f>
        <v/>
      </c>
      <c r="F1940" s="54" t="str">
        <f t="shared" si="90"/>
        <v/>
      </c>
      <c r="G1940" s="54" t="str">
        <f t="shared" si="91"/>
        <v/>
      </c>
      <c r="H1940" s="54" t="str">
        <f t="shared" si="92"/>
        <v/>
      </c>
    </row>
    <row r="1941" spans="5:8" x14ac:dyDescent="0.25">
      <c r="E1941" s="54" t="str">
        <f>IF(A1941="","",SUMIF('Daftar Transaksi'!D:D,A1941,'Daftar Transaksi'!F:F))</f>
        <v/>
      </c>
      <c r="F1941" s="54" t="str">
        <f t="shared" si="90"/>
        <v/>
      </c>
      <c r="G1941" s="54" t="str">
        <f t="shared" si="91"/>
        <v/>
      </c>
      <c r="H1941" s="54" t="str">
        <f t="shared" si="92"/>
        <v/>
      </c>
    </row>
    <row r="1942" spans="5:8" x14ac:dyDescent="0.25">
      <c r="E1942" s="54" t="str">
        <f>IF(A1942="","",SUMIF('Daftar Transaksi'!D:D,A1942,'Daftar Transaksi'!F:F))</f>
        <v/>
      </c>
      <c r="F1942" s="54" t="str">
        <f t="shared" si="90"/>
        <v/>
      </c>
      <c r="G1942" s="54" t="str">
        <f t="shared" si="91"/>
        <v/>
      </c>
      <c r="H1942" s="54" t="str">
        <f t="shared" si="92"/>
        <v/>
      </c>
    </row>
    <row r="1943" spans="5:8" x14ac:dyDescent="0.25">
      <c r="E1943" s="54" t="str">
        <f>IF(A1943="","",SUMIF('Daftar Transaksi'!D:D,A1943,'Daftar Transaksi'!F:F))</f>
        <v/>
      </c>
      <c r="F1943" s="54" t="str">
        <f t="shared" si="90"/>
        <v/>
      </c>
      <c r="G1943" s="54" t="str">
        <f t="shared" si="91"/>
        <v/>
      </c>
      <c r="H1943" s="54" t="str">
        <f t="shared" si="92"/>
        <v/>
      </c>
    </row>
    <row r="1944" spans="5:8" x14ac:dyDescent="0.25">
      <c r="E1944" s="54" t="str">
        <f>IF(A1944="","",SUMIF('Daftar Transaksi'!D:D,A1944,'Daftar Transaksi'!F:F))</f>
        <v/>
      </c>
      <c r="F1944" s="54" t="str">
        <f t="shared" si="90"/>
        <v/>
      </c>
      <c r="G1944" s="54" t="str">
        <f t="shared" si="91"/>
        <v/>
      </c>
      <c r="H1944" s="54" t="str">
        <f t="shared" si="92"/>
        <v/>
      </c>
    </row>
    <row r="1945" spans="5:8" x14ac:dyDescent="0.25">
      <c r="E1945" s="54" t="str">
        <f>IF(A1945="","",SUMIF('Daftar Transaksi'!D:D,A1945,'Daftar Transaksi'!F:F))</f>
        <v/>
      </c>
      <c r="F1945" s="54" t="str">
        <f t="shared" si="90"/>
        <v/>
      </c>
      <c r="G1945" s="54" t="str">
        <f t="shared" si="91"/>
        <v/>
      </c>
      <c r="H1945" s="54" t="str">
        <f t="shared" si="92"/>
        <v/>
      </c>
    </row>
    <row r="1946" spans="5:8" x14ac:dyDescent="0.25">
      <c r="E1946" s="54" t="str">
        <f>IF(A1946="","",SUMIF('Daftar Transaksi'!D:D,A1946,'Daftar Transaksi'!F:F))</f>
        <v/>
      </c>
      <c r="F1946" s="54" t="str">
        <f t="shared" si="90"/>
        <v/>
      </c>
      <c r="G1946" s="54" t="str">
        <f t="shared" si="91"/>
        <v/>
      </c>
      <c r="H1946" s="54" t="str">
        <f t="shared" si="92"/>
        <v/>
      </c>
    </row>
    <row r="1947" spans="5:8" x14ac:dyDescent="0.25">
      <c r="E1947" s="54" t="str">
        <f>IF(A1947="","",SUMIF('Daftar Transaksi'!D:D,A1947,'Daftar Transaksi'!F:F))</f>
        <v/>
      </c>
      <c r="F1947" s="54" t="str">
        <f t="shared" si="90"/>
        <v/>
      </c>
      <c r="G1947" s="54" t="str">
        <f t="shared" si="91"/>
        <v/>
      </c>
      <c r="H1947" s="54" t="str">
        <f t="shared" si="92"/>
        <v/>
      </c>
    </row>
    <row r="1948" spans="5:8" x14ac:dyDescent="0.25">
      <c r="E1948" s="54" t="str">
        <f>IF(A1948="","",SUMIF('Daftar Transaksi'!D:D,A1948,'Daftar Transaksi'!F:F))</f>
        <v/>
      </c>
      <c r="F1948" s="54" t="str">
        <f t="shared" si="90"/>
        <v/>
      </c>
      <c r="G1948" s="54" t="str">
        <f t="shared" si="91"/>
        <v/>
      </c>
      <c r="H1948" s="54" t="str">
        <f t="shared" si="92"/>
        <v/>
      </c>
    </row>
    <row r="1949" spans="5:8" x14ac:dyDescent="0.25">
      <c r="E1949" s="54" t="str">
        <f>IF(A1949="","",SUMIF('Daftar Transaksi'!D:D,A1949,'Daftar Transaksi'!F:F))</f>
        <v/>
      </c>
      <c r="F1949" s="54" t="str">
        <f t="shared" si="90"/>
        <v/>
      </c>
      <c r="G1949" s="54" t="str">
        <f t="shared" si="91"/>
        <v/>
      </c>
      <c r="H1949" s="54" t="str">
        <f t="shared" si="92"/>
        <v/>
      </c>
    </row>
    <row r="1950" spans="5:8" x14ac:dyDescent="0.25">
      <c r="E1950" s="54" t="str">
        <f>IF(A1950="","",SUMIF('Daftar Transaksi'!D:D,A1950,'Daftar Transaksi'!F:F))</f>
        <v/>
      </c>
      <c r="F1950" s="54" t="str">
        <f t="shared" si="90"/>
        <v/>
      </c>
      <c r="G1950" s="54" t="str">
        <f t="shared" si="91"/>
        <v/>
      </c>
      <c r="H1950" s="54" t="str">
        <f t="shared" si="92"/>
        <v/>
      </c>
    </row>
    <row r="1951" spans="5:8" x14ac:dyDescent="0.25">
      <c r="E1951" s="54" t="str">
        <f>IF(A1951="","",SUMIF('Daftar Transaksi'!D:D,A1951,'Daftar Transaksi'!F:F))</f>
        <v/>
      </c>
      <c r="F1951" s="54" t="str">
        <f t="shared" si="90"/>
        <v/>
      </c>
      <c r="G1951" s="54" t="str">
        <f t="shared" si="91"/>
        <v/>
      </c>
      <c r="H1951" s="54" t="str">
        <f t="shared" si="92"/>
        <v/>
      </c>
    </row>
    <row r="1952" spans="5:8" x14ac:dyDescent="0.25">
      <c r="E1952" s="54" t="str">
        <f>IF(A1952="","",SUMIF('Daftar Transaksi'!D:D,A1952,'Daftar Transaksi'!F:F))</f>
        <v/>
      </c>
      <c r="F1952" s="54" t="str">
        <f t="shared" si="90"/>
        <v/>
      </c>
      <c r="G1952" s="54" t="str">
        <f t="shared" si="91"/>
        <v/>
      </c>
      <c r="H1952" s="54" t="str">
        <f t="shared" si="92"/>
        <v/>
      </c>
    </row>
    <row r="1953" spans="5:8" x14ac:dyDescent="0.25">
      <c r="E1953" s="54" t="str">
        <f>IF(A1953="","",SUMIF('Daftar Transaksi'!D:D,A1953,'Daftar Transaksi'!F:F))</f>
        <v/>
      </c>
      <c r="F1953" s="54" t="str">
        <f t="shared" si="90"/>
        <v/>
      </c>
      <c r="G1953" s="54" t="str">
        <f t="shared" si="91"/>
        <v/>
      </c>
      <c r="H1953" s="54" t="str">
        <f t="shared" si="92"/>
        <v/>
      </c>
    </row>
    <row r="1954" spans="5:8" x14ac:dyDescent="0.25">
      <c r="E1954" s="54" t="str">
        <f>IF(A1954="","",SUMIF('Daftar Transaksi'!D:D,A1954,'Daftar Transaksi'!F:F))</f>
        <v/>
      </c>
      <c r="F1954" s="54" t="str">
        <f t="shared" si="90"/>
        <v/>
      </c>
      <c r="G1954" s="54" t="str">
        <f t="shared" si="91"/>
        <v/>
      </c>
      <c r="H1954" s="54" t="str">
        <f t="shared" si="92"/>
        <v/>
      </c>
    </row>
    <row r="1955" spans="5:8" x14ac:dyDescent="0.25">
      <c r="E1955" s="54" t="str">
        <f>IF(A1955="","",SUMIF('Daftar Transaksi'!D:D,A1955,'Daftar Transaksi'!F:F))</f>
        <v/>
      </c>
      <c r="F1955" s="54" t="str">
        <f t="shared" si="90"/>
        <v/>
      </c>
      <c r="G1955" s="54" t="str">
        <f t="shared" si="91"/>
        <v/>
      </c>
      <c r="H1955" s="54" t="str">
        <f t="shared" si="92"/>
        <v/>
      </c>
    </row>
    <row r="1956" spans="5:8" x14ac:dyDescent="0.25">
      <c r="E1956" s="54" t="str">
        <f>IF(A1956="","",SUMIF('Daftar Transaksi'!D:D,A1956,'Daftar Transaksi'!F:F))</f>
        <v/>
      </c>
      <c r="F1956" s="54" t="str">
        <f t="shared" si="90"/>
        <v/>
      </c>
      <c r="G1956" s="54" t="str">
        <f t="shared" si="91"/>
        <v/>
      </c>
      <c r="H1956" s="54" t="str">
        <f t="shared" si="92"/>
        <v/>
      </c>
    </row>
    <row r="1957" spans="5:8" x14ac:dyDescent="0.25">
      <c r="E1957" s="54" t="str">
        <f>IF(A1957="","",SUMIF('Daftar Transaksi'!D:D,A1957,'Daftar Transaksi'!F:F))</f>
        <v/>
      </c>
      <c r="F1957" s="54" t="str">
        <f t="shared" si="90"/>
        <v/>
      </c>
      <c r="G1957" s="54" t="str">
        <f t="shared" si="91"/>
        <v/>
      </c>
      <c r="H1957" s="54" t="str">
        <f t="shared" si="92"/>
        <v/>
      </c>
    </row>
    <row r="1958" spans="5:8" x14ac:dyDescent="0.25">
      <c r="E1958" s="54" t="str">
        <f>IF(A1958="","",SUMIF('Daftar Transaksi'!D:D,A1958,'Daftar Transaksi'!F:F))</f>
        <v/>
      </c>
      <c r="F1958" s="54" t="str">
        <f t="shared" si="90"/>
        <v/>
      </c>
      <c r="G1958" s="54" t="str">
        <f t="shared" si="91"/>
        <v/>
      </c>
      <c r="H1958" s="54" t="str">
        <f t="shared" si="92"/>
        <v/>
      </c>
    </row>
    <row r="1959" spans="5:8" x14ac:dyDescent="0.25">
      <c r="E1959" s="54" t="str">
        <f>IF(A1959="","",SUMIF('Daftar Transaksi'!D:D,A1959,'Daftar Transaksi'!F:F))</f>
        <v/>
      </c>
      <c r="F1959" s="54" t="str">
        <f t="shared" si="90"/>
        <v/>
      </c>
      <c r="G1959" s="54" t="str">
        <f t="shared" si="91"/>
        <v/>
      </c>
      <c r="H1959" s="54" t="str">
        <f t="shared" si="92"/>
        <v/>
      </c>
    </row>
    <row r="1960" spans="5:8" x14ac:dyDescent="0.25">
      <c r="E1960" s="54" t="str">
        <f>IF(A1960="","",SUMIF('Daftar Transaksi'!D:D,A1960,'Daftar Transaksi'!F:F))</f>
        <v/>
      </c>
      <c r="F1960" s="54" t="str">
        <f t="shared" si="90"/>
        <v/>
      </c>
      <c r="G1960" s="54" t="str">
        <f t="shared" si="91"/>
        <v/>
      </c>
      <c r="H1960" s="54" t="str">
        <f t="shared" si="92"/>
        <v/>
      </c>
    </row>
    <row r="1961" spans="5:8" x14ac:dyDescent="0.25">
      <c r="E1961" s="54" t="str">
        <f>IF(A1961="","",SUMIF('Daftar Transaksi'!D:D,A1961,'Daftar Transaksi'!F:F))</f>
        <v/>
      </c>
      <c r="F1961" s="54" t="str">
        <f t="shared" si="90"/>
        <v/>
      </c>
      <c r="G1961" s="54" t="str">
        <f t="shared" si="91"/>
        <v/>
      </c>
      <c r="H1961" s="54" t="str">
        <f t="shared" si="92"/>
        <v/>
      </c>
    </row>
    <row r="1962" spans="5:8" x14ac:dyDescent="0.25">
      <c r="E1962" s="54" t="str">
        <f>IF(A1962="","",SUMIF('Daftar Transaksi'!D:D,A1962,'Daftar Transaksi'!F:F))</f>
        <v/>
      </c>
      <c r="F1962" s="54" t="str">
        <f t="shared" si="90"/>
        <v/>
      </c>
      <c r="G1962" s="54" t="str">
        <f t="shared" si="91"/>
        <v/>
      </c>
      <c r="H1962" s="54" t="str">
        <f t="shared" si="92"/>
        <v/>
      </c>
    </row>
    <row r="1963" spans="5:8" x14ac:dyDescent="0.25">
      <c r="E1963" s="54" t="str">
        <f>IF(A1963="","",SUMIF('Daftar Transaksi'!D:D,A1963,'Daftar Transaksi'!F:F))</f>
        <v/>
      </c>
      <c r="F1963" s="54" t="str">
        <f t="shared" si="90"/>
        <v/>
      </c>
      <c r="G1963" s="54" t="str">
        <f t="shared" si="91"/>
        <v/>
      </c>
      <c r="H1963" s="54" t="str">
        <f t="shared" si="92"/>
        <v/>
      </c>
    </row>
    <row r="1964" spans="5:8" x14ac:dyDescent="0.25">
      <c r="E1964" s="54" t="str">
        <f>IF(A1964="","",SUMIF('Daftar Transaksi'!D:D,A1964,'Daftar Transaksi'!F:F))</f>
        <v/>
      </c>
      <c r="F1964" s="54" t="str">
        <f t="shared" si="90"/>
        <v/>
      </c>
      <c r="G1964" s="54" t="str">
        <f t="shared" si="91"/>
        <v/>
      </c>
      <c r="H1964" s="54" t="str">
        <f t="shared" si="92"/>
        <v/>
      </c>
    </row>
    <row r="1965" spans="5:8" x14ac:dyDescent="0.25">
      <c r="E1965" s="54" t="str">
        <f>IF(A1965="","",SUMIF('Daftar Transaksi'!D:D,A1965,'Daftar Transaksi'!F:F))</f>
        <v/>
      </c>
      <c r="F1965" s="54" t="str">
        <f t="shared" si="90"/>
        <v/>
      </c>
      <c r="G1965" s="54" t="str">
        <f t="shared" si="91"/>
        <v/>
      </c>
      <c r="H1965" s="54" t="str">
        <f t="shared" si="92"/>
        <v/>
      </c>
    </row>
    <row r="1966" spans="5:8" x14ac:dyDescent="0.25">
      <c r="E1966" s="54" t="str">
        <f>IF(A1966="","",SUMIF('Daftar Transaksi'!D:D,A1966,'Daftar Transaksi'!F:F))</f>
        <v/>
      </c>
      <c r="F1966" s="54" t="str">
        <f t="shared" si="90"/>
        <v/>
      </c>
      <c r="G1966" s="54" t="str">
        <f t="shared" si="91"/>
        <v/>
      </c>
      <c r="H1966" s="54" t="str">
        <f t="shared" si="92"/>
        <v/>
      </c>
    </row>
    <row r="1967" spans="5:8" x14ac:dyDescent="0.25">
      <c r="E1967" s="54" t="str">
        <f>IF(A1967="","",SUMIF('Daftar Transaksi'!D:D,A1967,'Daftar Transaksi'!F:F))</f>
        <v/>
      </c>
      <c r="F1967" s="54" t="str">
        <f t="shared" si="90"/>
        <v/>
      </c>
      <c r="G1967" s="54" t="str">
        <f t="shared" si="91"/>
        <v/>
      </c>
      <c r="H1967" s="54" t="str">
        <f t="shared" si="92"/>
        <v/>
      </c>
    </row>
    <row r="1968" spans="5:8" x14ac:dyDescent="0.25">
      <c r="E1968" s="54" t="str">
        <f>IF(A1968="","",SUMIF('Daftar Transaksi'!D:D,A1968,'Daftar Transaksi'!F:F))</f>
        <v/>
      </c>
      <c r="F1968" s="54" t="str">
        <f t="shared" si="90"/>
        <v/>
      </c>
      <c r="G1968" s="54" t="str">
        <f t="shared" si="91"/>
        <v/>
      </c>
      <c r="H1968" s="54" t="str">
        <f t="shared" si="92"/>
        <v/>
      </c>
    </row>
    <row r="1969" spans="5:8" x14ac:dyDescent="0.25">
      <c r="E1969" s="54" t="str">
        <f>IF(A1969="","",SUMIF('Daftar Transaksi'!D:D,A1969,'Daftar Transaksi'!F:F))</f>
        <v/>
      </c>
      <c r="F1969" s="54" t="str">
        <f t="shared" si="90"/>
        <v/>
      </c>
      <c r="G1969" s="54" t="str">
        <f t="shared" si="91"/>
        <v/>
      </c>
      <c r="H1969" s="54" t="str">
        <f t="shared" si="92"/>
        <v/>
      </c>
    </row>
    <row r="1970" spans="5:8" x14ac:dyDescent="0.25">
      <c r="E1970" s="54" t="str">
        <f>IF(A1970="","",SUMIF('Daftar Transaksi'!D:D,A1970,'Daftar Transaksi'!F:F))</f>
        <v/>
      </c>
      <c r="F1970" s="54" t="str">
        <f t="shared" si="90"/>
        <v/>
      </c>
      <c r="G1970" s="54" t="str">
        <f t="shared" si="91"/>
        <v/>
      </c>
      <c r="H1970" s="54" t="str">
        <f t="shared" si="92"/>
        <v/>
      </c>
    </row>
    <row r="1971" spans="5:8" x14ac:dyDescent="0.25">
      <c r="E1971" s="54" t="str">
        <f>IF(A1971="","",SUMIF('Daftar Transaksi'!D:D,A1971,'Daftar Transaksi'!F:F))</f>
        <v/>
      </c>
      <c r="F1971" s="54" t="str">
        <f t="shared" si="90"/>
        <v/>
      </c>
      <c r="G1971" s="54" t="str">
        <f t="shared" si="91"/>
        <v/>
      </c>
      <c r="H1971" s="54" t="str">
        <f t="shared" si="92"/>
        <v/>
      </c>
    </row>
    <row r="1972" spans="5:8" x14ac:dyDescent="0.25">
      <c r="E1972" s="54" t="str">
        <f>IF(A1972="","",SUMIF('Daftar Transaksi'!D:D,A1972,'Daftar Transaksi'!F:F))</f>
        <v/>
      </c>
      <c r="F1972" s="54" t="str">
        <f t="shared" si="90"/>
        <v/>
      </c>
      <c r="G1972" s="54" t="str">
        <f t="shared" si="91"/>
        <v/>
      </c>
      <c r="H1972" s="54" t="str">
        <f t="shared" si="92"/>
        <v/>
      </c>
    </row>
    <row r="1973" spans="5:8" x14ac:dyDescent="0.25">
      <c r="E1973" s="54" t="str">
        <f>IF(A1973="","",SUMIF('Daftar Transaksi'!D:D,A1973,'Daftar Transaksi'!F:F))</f>
        <v/>
      </c>
      <c r="F1973" s="54" t="str">
        <f t="shared" si="90"/>
        <v/>
      </c>
      <c r="G1973" s="54" t="str">
        <f t="shared" si="91"/>
        <v/>
      </c>
      <c r="H1973" s="54" t="str">
        <f t="shared" si="92"/>
        <v/>
      </c>
    </row>
    <row r="1974" spans="5:8" x14ac:dyDescent="0.25">
      <c r="E1974" s="54" t="str">
        <f>IF(A1974="","",SUMIF('Daftar Transaksi'!D:D,A1974,'Daftar Transaksi'!F:F))</f>
        <v/>
      </c>
      <c r="F1974" s="54" t="str">
        <f t="shared" si="90"/>
        <v/>
      </c>
      <c r="G1974" s="54" t="str">
        <f t="shared" si="91"/>
        <v/>
      </c>
      <c r="H1974" s="54" t="str">
        <f t="shared" si="92"/>
        <v/>
      </c>
    </row>
    <row r="1975" spans="5:8" x14ac:dyDescent="0.25">
      <c r="E1975" s="54" t="str">
        <f>IF(A1975="","",SUMIF('Daftar Transaksi'!D:D,A1975,'Daftar Transaksi'!F:F))</f>
        <v/>
      </c>
      <c r="F1975" s="54" t="str">
        <f t="shared" si="90"/>
        <v/>
      </c>
      <c r="G1975" s="54" t="str">
        <f t="shared" si="91"/>
        <v/>
      </c>
      <c r="H1975" s="54" t="str">
        <f t="shared" si="92"/>
        <v/>
      </c>
    </row>
    <row r="1976" spans="5:8" x14ac:dyDescent="0.25">
      <c r="E1976" s="54" t="str">
        <f>IF(A1976="","",SUMIF('Daftar Transaksi'!D:D,A1976,'Daftar Transaksi'!F:F))</f>
        <v/>
      </c>
      <c r="F1976" s="54" t="str">
        <f t="shared" si="90"/>
        <v/>
      </c>
      <c r="G1976" s="54" t="str">
        <f t="shared" si="91"/>
        <v/>
      </c>
      <c r="H1976" s="54" t="str">
        <f t="shared" si="92"/>
        <v/>
      </c>
    </row>
    <row r="1977" spans="5:8" x14ac:dyDescent="0.25">
      <c r="E1977" s="54" t="str">
        <f>IF(A1977="","",SUMIF('Daftar Transaksi'!D:D,A1977,'Daftar Transaksi'!F:F))</f>
        <v/>
      </c>
      <c r="F1977" s="54" t="str">
        <f t="shared" si="90"/>
        <v/>
      </c>
      <c r="G1977" s="54" t="str">
        <f t="shared" si="91"/>
        <v/>
      </c>
      <c r="H1977" s="54" t="str">
        <f t="shared" si="92"/>
        <v/>
      </c>
    </row>
    <row r="1978" spans="5:8" x14ac:dyDescent="0.25">
      <c r="E1978" s="54" t="str">
        <f>IF(A1978="","",SUMIF('Daftar Transaksi'!D:D,A1978,'Daftar Transaksi'!F:F))</f>
        <v/>
      </c>
      <c r="F1978" s="54" t="str">
        <f t="shared" si="90"/>
        <v/>
      </c>
      <c r="G1978" s="54" t="str">
        <f t="shared" si="91"/>
        <v/>
      </c>
      <c r="H1978" s="54" t="str">
        <f t="shared" si="92"/>
        <v/>
      </c>
    </row>
    <row r="1979" spans="5:8" x14ac:dyDescent="0.25">
      <c r="E1979" s="54" t="str">
        <f>IF(A1979="","",SUMIF('Daftar Transaksi'!D:D,A1979,'Daftar Transaksi'!F:F))</f>
        <v/>
      </c>
      <c r="F1979" s="54" t="str">
        <f t="shared" si="90"/>
        <v/>
      </c>
      <c r="G1979" s="54" t="str">
        <f t="shared" si="91"/>
        <v/>
      </c>
      <c r="H1979" s="54" t="str">
        <f t="shared" si="92"/>
        <v/>
      </c>
    </row>
    <row r="1980" spans="5:8" x14ac:dyDescent="0.25">
      <c r="E1980" s="54" t="str">
        <f>IF(A1980="","",SUMIF('Daftar Transaksi'!D:D,A1980,'Daftar Transaksi'!F:F))</f>
        <v/>
      </c>
      <c r="F1980" s="54" t="str">
        <f t="shared" si="90"/>
        <v/>
      </c>
      <c r="G1980" s="54" t="str">
        <f t="shared" si="91"/>
        <v/>
      </c>
      <c r="H1980" s="54" t="str">
        <f t="shared" si="92"/>
        <v/>
      </c>
    </row>
    <row r="1981" spans="5:8" x14ac:dyDescent="0.25">
      <c r="E1981" s="54" t="str">
        <f>IF(A1981="","",SUMIF('Daftar Transaksi'!D:D,A1981,'Daftar Transaksi'!F:F))</f>
        <v/>
      </c>
      <c r="F1981" s="54" t="str">
        <f t="shared" si="90"/>
        <v/>
      </c>
      <c r="G1981" s="54" t="str">
        <f t="shared" si="91"/>
        <v/>
      </c>
      <c r="H1981" s="54" t="str">
        <f t="shared" si="92"/>
        <v/>
      </c>
    </row>
    <row r="1982" spans="5:8" x14ac:dyDescent="0.25">
      <c r="E1982" s="54" t="str">
        <f>IF(A1982="","",SUMIF('Daftar Transaksi'!D:D,A1982,'Daftar Transaksi'!F:F))</f>
        <v/>
      </c>
      <c r="F1982" s="54" t="str">
        <f t="shared" si="90"/>
        <v/>
      </c>
      <c r="G1982" s="54" t="str">
        <f t="shared" si="91"/>
        <v/>
      </c>
      <c r="H1982" s="54" t="str">
        <f t="shared" si="92"/>
        <v/>
      </c>
    </row>
    <row r="1983" spans="5:8" x14ac:dyDescent="0.25">
      <c r="E1983" s="54" t="str">
        <f>IF(A1983="","",SUMIF('Daftar Transaksi'!D:D,A1983,'Daftar Transaksi'!F:F))</f>
        <v/>
      </c>
      <c r="F1983" s="54" t="str">
        <f t="shared" ref="F1983:F1996" si="93">IF(A1983="","",D1983-E1983)</f>
        <v/>
      </c>
      <c r="G1983" s="54" t="str">
        <f t="shared" ref="G1983:G1996" si="94">IF(A1983="","",C1983*E1983)</f>
        <v/>
      </c>
      <c r="H1983" s="54" t="str">
        <f t="shared" ref="H1983:H1996" si="95">IF(A1983="","",G1983-(B1983*E1983))</f>
        <v/>
      </c>
    </row>
    <row r="1984" spans="5:8" x14ac:dyDescent="0.25">
      <c r="E1984" s="54" t="str">
        <f>IF(A1984="","",SUMIF('Daftar Transaksi'!D:D,A1984,'Daftar Transaksi'!F:F))</f>
        <v/>
      </c>
      <c r="F1984" s="54" t="str">
        <f t="shared" si="93"/>
        <v/>
      </c>
      <c r="G1984" s="54" t="str">
        <f t="shared" si="94"/>
        <v/>
      </c>
      <c r="H1984" s="54" t="str">
        <f t="shared" si="95"/>
        <v/>
      </c>
    </row>
    <row r="1985" spans="5:8" x14ac:dyDescent="0.25">
      <c r="E1985" s="54" t="str">
        <f>IF(A1985="","",SUMIF('Daftar Transaksi'!D:D,A1985,'Daftar Transaksi'!F:F))</f>
        <v/>
      </c>
      <c r="F1985" s="54" t="str">
        <f t="shared" si="93"/>
        <v/>
      </c>
      <c r="G1985" s="54" t="str">
        <f t="shared" si="94"/>
        <v/>
      </c>
      <c r="H1985" s="54" t="str">
        <f t="shared" si="95"/>
        <v/>
      </c>
    </row>
    <row r="1986" spans="5:8" x14ac:dyDescent="0.25">
      <c r="E1986" s="54" t="str">
        <f>IF(A1986="","",SUMIF('Daftar Transaksi'!D:D,A1986,'Daftar Transaksi'!F:F))</f>
        <v/>
      </c>
      <c r="F1986" s="54" t="str">
        <f t="shared" si="93"/>
        <v/>
      </c>
      <c r="G1986" s="54" t="str">
        <f t="shared" si="94"/>
        <v/>
      </c>
      <c r="H1986" s="54" t="str">
        <f t="shared" si="95"/>
        <v/>
      </c>
    </row>
    <row r="1987" spans="5:8" x14ac:dyDescent="0.25">
      <c r="E1987" s="54" t="str">
        <f>IF(A1987="","",SUMIF('Daftar Transaksi'!D:D,A1987,'Daftar Transaksi'!F:F))</f>
        <v/>
      </c>
      <c r="F1987" s="54" t="str">
        <f t="shared" si="93"/>
        <v/>
      </c>
      <c r="G1987" s="54" t="str">
        <f t="shared" si="94"/>
        <v/>
      </c>
      <c r="H1987" s="54" t="str">
        <f t="shared" si="95"/>
        <v/>
      </c>
    </row>
    <row r="1988" spans="5:8" x14ac:dyDescent="0.25">
      <c r="E1988" s="54" t="str">
        <f>IF(A1988="","",SUMIF('Daftar Transaksi'!D:D,A1988,'Daftar Transaksi'!F:F))</f>
        <v/>
      </c>
      <c r="F1988" s="54" t="str">
        <f t="shared" si="93"/>
        <v/>
      </c>
      <c r="G1988" s="54" t="str">
        <f t="shared" si="94"/>
        <v/>
      </c>
      <c r="H1988" s="54" t="str">
        <f t="shared" si="95"/>
        <v/>
      </c>
    </row>
    <row r="1989" spans="5:8" x14ac:dyDescent="0.25">
      <c r="E1989" s="54" t="str">
        <f>IF(A1989="","",SUMIF('Daftar Transaksi'!D:D,A1989,'Daftar Transaksi'!F:F))</f>
        <v/>
      </c>
      <c r="F1989" s="54" t="str">
        <f t="shared" si="93"/>
        <v/>
      </c>
      <c r="G1989" s="54" t="str">
        <f t="shared" si="94"/>
        <v/>
      </c>
      <c r="H1989" s="54" t="str">
        <f t="shared" si="95"/>
        <v/>
      </c>
    </row>
    <row r="1990" spans="5:8" x14ac:dyDescent="0.25">
      <c r="E1990" s="54" t="str">
        <f>IF(A1990="","",SUMIF('Daftar Transaksi'!D:D,A1990,'Daftar Transaksi'!F:F))</f>
        <v/>
      </c>
      <c r="F1990" s="54" t="str">
        <f t="shared" si="93"/>
        <v/>
      </c>
      <c r="G1990" s="54" t="str">
        <f t="shared" si="94"/>
        <v/>
      </c>
      <c r="H1990" s="54" t="str">
        <f t="shared" si="95"/>
        <v/>
      </c>
    </row>
    <row r="1991" spans="5:8" x14ac:dyDescent="0.25">
      <c r="E1991" s="54" t="str">
        <f>IF(A1991="","",SUMIF('Daftar Transaksi'!D:D,A1991,'Daftar Transaksi'!F:F))</f>
        <v/>
      </c>
      <c r="F1991" s="54" t="str">
        <f t="shared" si="93"/>
        <v/>
      </c>
      <c r="G1991" s="54" t="str">
        <f t="shared" si="94"/>
        <v/>
      </c>
      <c r="H1991" s="54" t="str">
        <f t="shared" si="95"/>
        <v/>
      </c>
    </row>
    <row r="1992" spans="5:8" x14ac:dyDescent="0.25">
      <c r="E1992" s="54" t="str">
        <f>IF(A1992="","",SUMIF('Daftar Transaksi'!D:D,A1992,'Daftar Transaksi'!F:F))</f>
        <v/>
      </c>
      <c r="F1992" s="54" t="str">
        <f t="shared" si="93"/>
        <v/>
      </c>
      <c r="G1992" s="54" t="str">
        <f t="shared" si="94"/>
        <v/>
      </c>
      <c r="H1992" s="54" t="str">
        <f t="shared" si="95"/>
        <v/>
      </c>
    </row>
    <row r="1993" spans="5:8" x14ac:dyDescent="0.25">
      <c r="E1993" s="54" t="str">
        <f>IF(A1993="","",SUMIF('Daftar Transaksi'!D:D,A1993,'Daftar Transaksi'!F:F))</f>
        <v/>
      </c>
      <c r="F1993" s="54" t="str">
        <f t="shared" si="93"/>
        <v/>
      </c>
      <c r="G1993" s="54" t="str">
        <f t="shared" si="94"/>
        <v/>
      </c>
      <c r="H1993" s="54" t="str">
        <f t="shared" si="95"/>
        <v/>
      </c>
    </row>
    <row r="1994" spans="5:8" x14ac:dyDescent="0.25">
      <c r="E1994" s="54" t="str">
        <f>IF(A1994="","",SUMIF('Daftar Transaksi'!D:D,A1994,'Daftar Transaksi'!F:F))</f>
        <v/>
      </c>
      <c r="F1994" s="54" t="str">
        <f t="shared" si="93"/>
        <v/>
      </c>
      <c r="G1994" s="54" t="str">
        <f t="shared" si="94"/>
        <v/>
      </c>
      <c r="H1994" s="54" t="str">
        <f t="shared" si="95"/>
        <v/>
      </c>
    </row>
    <row r="1995" spans="5:8" x14ac:dyDescent="0.25">
      <c r="E1995" s="54" t="str">
        <f>IF(A1995="","",SUMIF('Daftar Transaksi'!D:D,A1995,'Daftar Transaksi'!F:F))</f>
        <v/>
      </c>
      <c r="F1995" s="54" t="str">
        <f t="shared" si="93"/>
        <v/>
      </c>
      <c r="G1995" s="54" t="str">
        <f t="shared" si="94"/>
        <v/>
      </c>
      <c r="H1995" s="54" t="str">
        <f t="shared" si="95"/>
        <v/>
      </c>
    </row>
    <row r="1996" spans="5:8" x14ac:dyDescent="0.25">
      <c r="E1996" s="54" t="str">
        <f>IF(A1996="","",SUMIF('Daftar Transaksi'!D:D,A1996,'Daftar Transaksi'!F:F))</f>
        <v/>
      </c>
      <c r="F1996" s="54" t="str">
        <f t="shared" si="93"/>
        <v/>
      </c>
      <c r="G1996" s="54" t="str">
        <f t="shared" si="94"/>
        <v/>
      </c>
      <c r="H1996" s="54" t="str">
        <f t="shared" si="95"/>
        <v/>
      </c>
    </row>
  </sheetData>
  <mergeCells count="1">
    <mergeCell ref="A1:H1"/>
  </mergeCells>
  <conditionalFormatting sqref="A3:H99995">
    <cfRule type="expression" dxfId="5" priority="1">
      <formula>AND(MOD(ROW(),2)=1,$A3&lt;&gt;"")</formula>
    </cfRule>
    <cfRule type="expression" dxfId="4" priority="2">
      <formula>$A3&lt;&gt;""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8"/>
  <sheetViews>
    <sheetView showGridLines="0" zoomScale="106" zoomScaleNormal="106"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.5703125" customWidth="1"/>
    <col min="2" max="2" width="33.140625" customWidth="1"/>
    <col min="3" max="3" width="16.7109375" style="26" customWidth="1"/>
  </cols>
  <sheetData>
    <row r="1" spans="1:3" ht="15.75" x14ac:dyDescent="0.25">
      <c r="A1" s="74" t="s">
        <v>19</v>
      </c>
      <c r="B1" s="74"/>
      <c r="C1" s="74"/>
    </row>
    <row r="2" spans="1:3" x14ac:dyDescent="0.25">
      <c r="A2" s="23" t="s">
        <v>20</v>
      </c>
      <c r="B2" s="23" t="s">
        <v>21</v>
      </c>
      <c r="C2" s="25" t="s">
        <v>22</v>
      </c>
    </row>
    <row r="3" spans="1:3" x14ac:dyDescent="0.25">
      <c r="A3" t="s">
        <v>31</v>
      </c>
      <c r="B3" t="s">
        <v>23</v>
      </c>
      <c r="C3" s="27" t="s">
        <v>23</v>
      </c>
    </row>
    <row r="4" spans="1:3" x14ac:dyDescent="0.25">
      <c r="A4" t="s">
        <v>32</v>
      </c>
      <c r="B4" t="s">
        <v>38</v>
      </c>
      <c r="C4" s="26" t="s">
        <v>40</v>
      </c>
    </row>
    <row r="5" spans="1:3" x14ac:dyDescent="0.25">
      <c r="A5" t="s">
        <v>43</v>
      </c>
      <c r="B5" t="s">
        <v>44</v>
      </c>
      <c r="C5" s="26" t="s">
        <v>45</v>
      </c>
    </row>
    <row r="6" spans="1:3" x14ac:dyDescent="0.25">
      <c r="A6" s="4"/>
    </row>
    <row r="7" spans="1:3" x14ac:dyDescent="0.25">
      <c r="A7" s="4"/>
    </row>
    <row r="8" spans="1:3" x14ac:dyDescent="0.25">
      <c r="A8" s="4"/>
    </row>
  </sheetData>
  <mergeCells count="1">
    <mergeCell ref="A1:C1"/>
  </mergeCells>
  <conditionalFormatting sqref="A3:C99999">
    <cfRule type="expression" dxfId="3" priority="1">
      <formula>AND(MOD(ROW(),2)=1,$A3&lt;&gt;"")</formula>
    </cfRule>
    <cfRule type="expression" dxfId="2" priority="2">
      <formula>$A3&lt;&gt;""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10"/>
  <sheetViews>
    <sheetView showGridLines="0" zoomScale="91" zoomScaleNormal="91" workbookViewId="0">
      <pane ySplit="2" topLeftCell="A3" activePane="bottomLeft" state="frozen"/>
      <selection pane="bottomLeft" activeCell="C14" sqref="C14"/>
    </sheetView>
  </sheetViews>
  <sheetFormatPr defaultColWidth="9.140625" defaultRowHeight="15" x14ac:dyDescent="0.25"/>
  <cols>
    <col min="1" max="1" width="12.5703125" style="16" customWidth="1"/>
    <col min="2" max="2" width="11.140625" style="15" customWidth="1"/>
    <col min="3" max="3" width="19.42578125" style="24" customWidth="1"/>
    <col min="4" max="4" width="19.42578125" style="7" customWidth="1"/>
    <col min="5" max="5" width="12.7109375" style="17" customWidth="1"/>
    <col min="6" max="6" width="11" style="17" customWidth="1"/>
    <col min="7" max="7" width="12.7109375" style="17" customWidth="1"/>
    <col min="8" max="16384" width="9.140625" style="7"/>
  </cols>
  <sheetData>
    <row r="1" spans="1:7" x14ac:dyDescent="0.25">
      <c r="A1" s="75" t="s">
        <v>15</v>
      </c>
      <c r="B1" s="75"/>
      <c r="C1" s="75"/>
      <c r="D1" s="75"/>
      <c r="E1" s="75"/>
      <c r="F1" s="75"/>
      <c r="G1" s="75"/>
    </row>
    <row r="2" spans="1:7" x14ac:dyDescent="0.25">
      <c r="A2" s="19" t="s">
        <v>4</v>
      </c>
      <c r="B2" s="20" t="s">
        <v>5</v>
      </c>
      <c r="C2" s="20" t="s">
        <v>20</v>
      </c>
      <c r="D2" s="21" t="s">
        <v>1</v>
      </c>
      <c r="E2" s="22" t="s">
        <v>2</v>
      </c>
      <c r="F2" s="22" t="s">
        <v>6</v>
      </c>
      <c r="G2" s="22" t="s">
        <v>3</v>
      </c>
    </row>
    <row r="3" spans="1:7" x14ac:dyDescent="0.25">
      <c r="A3" s="16">
        <v>100001</v>
      </c>
      <c r="B3" s="15">
        <v>44619</v>
      </c>
      <c r="C3" s="24" t="s">
        <v>43</v>
      </c>
      <c r="D3" s="7" t="s">
        <v>53</v>
      </c>
      <c r="E3" s="17">
        <v>15000</v>
      </c>
      <c r="F3" s="17">
        <v>2</v>
      </c>
      <c r="G3" s="17">
        <v>30000</v>
      </c>
    </row>
    <row r="4" spans="1:7" x14ac:dyDescent="0.25">
      <c r="A4" s="16">
        <v>100001</v>
      </c>
      <c r="B4" s="15">
        <v>44619</v>
      </c>
      <c r="C4" s="24" t="s">
        <v>43</v>
      </c>
      <c r="D4" s="7" t="s">
        <v>62</v>
      </c>
      <c r="E4" s="17">
        <v>3000</v>
      </c>
      <c r="F4" s="17">
        <v>3</v>
      </c>
      <c r="G4" s="17">
        <v>9000</v>
      </c>
    </row>
    <row r="5" spans="1:7" x14ac:dyDescent="0.25">
      <c r="A5" s="16">
        <v>100001</v>
      </c>
      <c r="B5" s="15">
        <v>44619</v>
      </c>
      <c r="C5" s="24" t="s">
        <v>43</v>
      </c>
      <c r="D5" s="7" t="s">
        <v>75</v>
      </c>
      <c r="E5" s="17">
        <v>15000</v>
      </c>
      <c r="F5" s="17">
        <v>2</v>
      </c>
      <c r="G5" s="17">
        <v>30000</v>
      </c>
    </row>
    <row r="6" spans="1:7" x14ac:dyDescent="0.25">
      <c r="A6" s="16">
        <v>100002</v>
      </c>
      <c r="B6" s="15">
        <v>44621</v>
      </c>
      <c r="C6" s="24" t="s">
        <v>32</v>
      </c>
      <c r="D6" s="7" t="s">
        <v>64</v>
      </c>
      <c r="E6" s="17">
        <v>13000</v>
      </c>
      <c r="F6" s="17">
        <v>2</v>
      </c>
      <c r="G6" s="17">
        <v>26000</v>
      </c>
    </row>
    <row r="7" spans="1:7" x14ac:dyDescent="0.25">
      <c r="A7" s="16">
        <v>100002</v>
      </c>
      <c r="B7" s="15">
        <v>44621</v>
      </c>
      <c r="C7" s="24" t="s">
        <v>32</v>
      </c>
      <c r="D7" s="7" t="s">
        <v>62</v>
      </c>
      <c r="E7" s="17">
        <v>3000</v>
      </c>
      <c r="F7" s="17">
        <v>4</v>
      </c>
      <c r="G7" s="17">
        <v>12000</v>
      </c>
    </row>
    <row r="8" spans="1:7" x14ac:dyDescent="0.25">
      <c r="A8" s="16">
        <v>100003</v>
      </c>
      <c r="B8" s="15">
        <v>44702</v>
      </c>
      <c r="C8" s="24" t="s">
        <v>31</v>
      </c>
      <c r="D8" s="7" t="s">
        <v>49</v>
      </c>
      <c r="E8" s="17">
        <v>12000</v>
      </c>
      <c r="F8" s="17">
        <v>6</v>
      </c>
      <c r="G8" s="17">
        <v>72000</v>
      </c>
    </row>
    <row r="9" spans="1:7" x14ac:dyDescent="0.25">
      <c r="A9" s="16">
        <v>100003</v>
      </c>
      <c r="B9" s="15">
        <v>44702</v>
      </c>
      <c r="C9" s="24" t="s">
        <v>31</v>
      </c>
      <c r="D9" s="7" t="s">
        <v>52</v>
      </c>
      <c r="E9" s="17">
        <v>14000</v>
      </c>
      <c r="F9" s="17">
        <v>3</v>
      </c>
      <c r="G9" s="17">
        <v>42000</v>
      </c>
    </row>
    <row r="10" spans="1:7" x14ac:dyDescent="0.25">
      <c r="A10" s="16">
        <v>100004</v>
      </c>
      <c r="B10" s="15">
        <v>44716</v>
      </c>
      <c r="C10" s="24" t="s">
        <v>31</v>
      </c>
      <c r="D10" s="7" t="s">
        <v>49</v>
      </c>
      <c r="E10" s="17">
        <v>12000</v>
      </c>
      <c r="F10" s="17">
        <v>4</v>
      </c>
      <c r="G10" s="17">
        <v>48000</v>
      </c>
    </row>
  </sheetData>
  <mergeCells count="1">
    <mergeCell ref="A1:G1"/>
  </mergeCells>
  <conditionalFormatting sqref="A3:G99999">
    <cfRule type="expression" dxfId="1" priority="1">
      <formula>AND(MOD(ROW(),2)=1,$A3&lt;&gt;"")</formula>
    </cfRule>
    <cfRule type="expression" dxfId="0" priority="2">
      <formula>$A3&lt;&gt;""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8"/>
  <sheetViews>
    <sheetView showGridLines="0" zoomScale="205" zoomScaleNormal="205" workbookViewId="0">
      <selection sqref="A1:C1"/>
    </sheetView>
  </sheetViews>
  <sheetFormatPr defaultRowHeight="15" x14ac:dyDescent="0.25"/>
  <cols>
    <col min="1" max="1" width="13.7109375" bestFit="1" customWidth="1"/>
    <col min="2" max="2" width="13.28515625" customWidth="1"/>
    <col min="3" max="3" width="22.42578125" customWidth="1"/>
  </cols>
  <sheetData>
    <row r="1" spans="1:3" ht="15.75" x14ac:dyDescent="0.25">
      <c r="A1" s="78" t="s">
        <v>33</v>
      </c>
      <c r="B1" s="78"/>
      <c r="C1" s="78"/>
    </row>
    <row r="2" spans="1:3" ht="6.4" customHeight="1" x14ac:dyDescent="0.25"/>
    <row r="3" spans="1:3" x14ac:dyDescent="0.25">
      <c r="A3" t="s">
        <v>34</v>
      </c>
      <c r="B3" s="76" t="s">
        <v>47</v>
      </c>
      <c r="C3" s="76"/>
    </row>
    <row r="4" spans="1:3" x14ac:dyDescent="0.25">
      <c r="A4" t="s">
        <v>21</v>
      </c>
      <c r="B4" s="77" t="s">
        <v>48</v>
      </c>
      <c r="C4" s="76"/>
    </row>
    <row r="5" spans="1:3" x14ac:dyDescent="0.25">
      <c r="A5" t="s">
        <v>35</v>
      </c>
      <c r="B5" s="76">
        <v>85273515243</v>
      </c>
      <c r="C5" s="76"/>
    </row>
    <row r="7" spans="1:3" x14ac:dyDescent="0.25">
      <c r="A7" t="s">
        <v>36</v>
      </c>
      <c r="B7" s="64" t="s">
        <v>46</v>
      </c>
    </row>
    <row r="8" spans="1:3" x14ac:dyDescent="0.25">
      <c r="A8" t="s">
        <v>37</v>
      </c>
      <c r="B8" s="64" t="s">
        <v>42</v>
      </c>
    </row>
  </sheetData>
  <sheetProtection sheet="1" objects="1" scenarios="1"/>
  <mergeCells count="4">
    <mergeCell ref="B3:C3"/>
    <mergeCell ref="B4:C4"/>
    <mergeCell ref="B5:C5"/>
    <mergeCell ref="A1:C1"/>
  </mergeCells>
  <dataValidations count="1">
    <dataValidation type="list" allowBlank="1" showInputMessage="1" showErrorMessage="1" error="Pilih Ya atau Tidak" sqref="B8" xr:uid="{00000000-0002-0000-0400-000000000000}">
      <formula1>"Ya,Tidak"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Transaksi Kasir</vt:lpstr>
      <vt:lpstr>Daftar Barang</vt:lpstr>
      <vt:lpstr>Daftar Pelanggan</vt:lpstr>
      <vt:lpstr>Daftar Transaksi</vt:lpstr>
      <vt:lpstr>Pengaturan</vt:lpstr>
      <vt:lpstr>Footer_Struk</vt:lpstr>
      <vt:lpstr>'Transaksi Kasir'!Print_Area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ZUL</dc:creator>
  <cp:lastModifiedBy>Atep Sut</cp:lastModifiedBy>
  <cp:lastPrinted>2022-02-26T06:32:02Z</cp:lastPrinted>
  <dcterms:created xsi:type="dcterms:W3CDTF">2019-11-08T00:00:34Z</dcterms:created>
  <dcterms:modified xsi:type="dcterms:W3CDTF">2022-06-04T06:12:10Z</dcterms:modified>
</cp:coreProperties>
</file>